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구매부품" sheetId="2" state="visible" r:id="rId4"/>
    <sheet name="제작부품" sheetId="3" state="visible" r:id="rId5"/>
    <sheet name="설계검토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<sst xmlns="http://schemas.openxmlformats.org/spreadsheetml/2006/main" count="245" uniqueCount="202">
  <si>
    <t xml:space="preserve">가변 내부형상 음향 측정장치 — 부품표(BOM)</t>
  </si>
  <si>
    <t xml:space="preserve">출처 설계: cup_z_x_catrage_frame_water_mic_anti.scad  |  작성일: 2026-06-15</t>
  </si>
  <si>
    <t xml:space="preserve">프레임(2020 알루미늄 골조)은 업체 외주 제작 / 그 외 부품은 구매 또는 직접 제작(3D프린팅·레이저커팅)</t>
  </si>
  <si>
    <t xml:space="preserve">구분</t>
  </si>
  <si>
    <t xml:space="preserve">시트</t>
  </si>
  <si>
    <t xml:space="preserve">항목 수</t>
  </si>
  <si>
    <t xml:space="preserve">예상 합계(KRW)</t>
  </si>
  <si>
    <t xml:space="preserve">비고</t>
  </si>
  <si>
    <t xml:space="preserve">구매 부품</t>
  </si>
  <si>
    <t xml:space="preserve">구매부품</t>
  </si>
  <si>
    <t xml:space="preserve">전장·기구·유체·계측 포함</t>
  </si>
  <si>
    <t xml:space="preserve">제작 부품(재료/가공비)</t>
  </si>
  <si>
    <t xml:space="preserve">제작부품</t>
  </si>
  <si>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프린팅 필라멘트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레이저</t>
    </r>
    <r>
      <rPr>
        <sz val="10"/>
        <rFont val="Arial"/>
        <family val="0"/>
        <charset val="1"/>
      </rPr>
      <t xml:space="preserve">/CNC </t>
    </r>
    <r>
      <rPr>
        <sz val="10"/>
        <rFont val="Noto Sans CJK SC"/>
        <family val="2"/>
      </rPr>
      <t xml:space="preserve">가공비</t>
    </r>
  </si>
  <si>
    <t xml:space="preserve">총 예상 비용 (마이크/오디오IF 선택안 따라 변동)</t>
  </si>
  <si>
    <t xml:space="preserve">※ 단가는 2026년 6월 기준 개략 추정치(해외직구·배송·관세·환율 별도). 실제 구매 전 견적 확인 필요.</t>
  </si>
  <si>
    <t xml:space="preserve">※ 측정 마이크는 Earthworks M50(고급, 약 180만원)와 miniDSP UMIK-1(보급, 약 15만원) 중 택1. 합계는 M50 기준.</t>
  </si>
  <si>
    <r>
      <rPr>
        <sz val="9"/>
        <color rgb="FF884400"/>
        <rFont val="Arial"/>
        <family val="0"/>
        <charset val="1"/>
      </rPr>
      <t xml:space="preserve">※ UMIK-1(USB)</t>
    </r>
    <r>
      <rPr>
        <sz val="9"/>
        <color rgb="FF884400"/>
        <rFont val="Noto Sans CJK SC"/>
        <family val="2"/>
      </rPr>
      <t xml:space="preserve">을 쓰면 오디오 인터페이스</t>
    </r>
    <r>
      <rPr>
        <sz val="9"/>
        <color rgb="FF884400"/>
        <rFont val="Arial"/>
        <family val="0"/>
        <charset val="1"/>
      </rPr>
      <t xml:space="preserve">(Scarlett 2i2)</t>
    </r>
    <r>
      <rPr>
        <sz val="9"/>
        <color rgb="FF884400"/>
        <rFont val="Noto Sans CJK SC"/>
        <family val="2"/>
      </rPr>
      <t xml:space="preserve">는 불필요 → 약 </t>
    </r>
    <r>
      <rPr>
        <sz val="9"/>
        <color rgb="FF884400"/>
        <rFont val="Arial"/>
        <family val="0"/>
        <charset val="1"/>
      </rPr>
      <t xml:space="preserve">50</t>
    </r>
    <r>
      <rPr>
        <sz val="9"/>
        <color rgb="FF884400"/>
        <rFont val="Noto Sans CJK SC"/>
        <family val="2"/>
      </rPr>
      <t xml:space="preserve">만원 절감</t>
    </r>
    <r>
      <rPr>
        <sz val="9"/>
        <color rgb="FF884400"/>
        <rFont val="Arial"/>
        <family val="0"/>
        <charset val="1"/>
      </rPr>
      <t xml:space="preserve">.</t>
    </r>
  </si>
  <si>
    <r>
      <rPr>
        <sz val="9"/>
        <color rgb="FF884400"/>
        <rFont val="Arial"/>
        <family val="0"/>
        <charset val="1"/>
      </rPr>
      <t xml:space="preserve">※ X</t>
    </r>
    <r>
      <rPr>
        <sz val="9"/>
        <color rgb="FF884400"/>
        <rFont val="Noto Sans CJK SC"/>
        <family val="2"/>
      </rPr>
      <t xml:space="preserve">축 구동계</t>
    </r>
    <r>
      <rPr>
        <sz val="9"/>
        <color rgb="FF884400"/>
        <rFont val="Arial"/>
        <family val="0"/>
        <charset val="1"/>
      </rPr>
      <t xml:space="preserve">(</t>
    </r>
    <r>
      <rPr>
        <sz val="9"/>
        <color rgb="FF884400"/>
        <rFont val="Noto Sans CJK SC"/>
        <family val="2"/>
      </rPr>
      <t xml:space="preserve">모터</t>
    </r>
    <r>
      <rPr>
        <sz val="9"/>
        <color rgb="FF884400"/>
        <rFont val="Arial"/>
        <family val="0"/>
        <charset val="1"/>
      </rPr>
      <t xml:space="preserve">+</t>
    </r>
    <r>
      <rPr>
        <sz val="9"/>
        <color rgb="FF884400"/>
        <rFont val="Noto Sans CJK SC"/>
        <family val="2"/>
      </rPr>
      <t xml:space="preserve">벨트</t>
    </r>
    <r>
      <rPr>
        <sz val="9"/>
        <color rgb="FF884400"/>
        <rFont val="Arial"/>
        <family val="0"/>
        <charset val="1"/>
      </rPr>
      <t xml:space="preserve">/</t>
    </r>
    <r>
      <rPr>
        <sz val="9"/>
        <color rgb="FF884400"/>
        <rFont val="Noto Sans CJK SC"/>
        <family val="2"/>
      </rPr>
      <t xml:space="preserve">스크류</t>
    </r>
    <r>
      <rPr>
        <sz val="9"/>
        <color rgb="FF884400"/>
        <rFont val="Arial"/>
        <family val="0"/>
        <charset val="1"/>
      </rPr>
      <t xml:space="preserve">)</t>
    </r>
    <r>
      <rPr>
        <sz val="9"/>
        <color rgb="FF884400"/>
        <rFont val="Noto Sans CJK SC"/>
        <family val="2"/>
      </rPr>
      <t xml:space="preserve">는 원본 </t>
    </r>
    <r>
      <rPr>
        <sz val="9"/>
        <color rgb="FF884400"/>
        <rFont val="Arial"/>
        <family val="0"/>
        <charset val="1"/>
      </rPr>
      <t xml:space="preserve">SCAD</t>
    </r>
    <r>
      <rPr>
        <sz val="9"/>
        <color rgb="FF884400"/>
        <rFont val="Noto Sans CJK SC"/>
        <family val="2"/>
      </rPr>
      <t xml:space="preserve">에 미모델링 — 본 </t>
    </r>
    <r>
      <rPr>
        <sz val="9"/>
        <color rgb="FF884400"/>
        <rFont val="Arial"/>
        <family val="0"/>
        <charset val="1"/>
      </rPr>
      <t xml:space="preserve">BOM</t>
    </r>
    <r>
      <rPr>
        <sz val="9"/>
        <color rgb="FF884400"/>
        <rFont val="Noto Sans CJK SC"/>
        <family val="2"/>
      </rPr>
      <t xml:space="preserve">에서 추가 반영함</t>
    </r>
    <r>
      <rPr>
        <sz val="9"/>
        <color rgb="FF884400"/>
        <rFont val="Arial"/>
        <family val="0"/>
        <charset val="1"/>
      </rPr>
      <t xml:space="preserve">.</t>
    </r>
  </si>
  <si>
    <r>
      <rPr>
        <sz val="9"/>
        <color rgb="FF884400"/>
        <rFont val="Arial"/>
        <family val="0"/>
        <charset val="1"/>
      </rPr>
      <t xml:space="preserve">※ '</t>
    </r>
    <r>
      <rPr>
        <sz val="9"/>
        <color rgb="FF884400"/>
        <rFont val="Noto Sans CJK SC"/>
        <family val="2"/>
      </rPr>
      <t xml:space="preserve">설계검토</t>
    </r>
    <r>
      <rPr>
        <sz val="9"/>
        <color rgb="FF884400"/>
        <rFont val="Arial"/>
        <family val="0"/>
        <charset val="1"/>
      </rPr>
      <t xml:space="preserve">' </t>
    </r>
    <r>
      <rPr>
        <sz val="9"/>
        <color rgb="FF884400"/>
        <rFont val="Noto Sans CJK SC"/>
        <family val="2"/>
      </rPr>
      <t xml:space="preserve">시트의 치수</t>
    </r>
    <r>
      <rPr>
        <sz val="9"/>
        <color rgb="FF884400"/>
        <rFont val="Arial"/>
        <family val="0"/>
        <charset val="1"/>
      </rPr>
      <t xml:space="preserve">·</t>
    </r>
    <r>
      <rPr>
        <sz val="9"/>
        <color rgb="FF884400"/>
        <rFont val="Noto Sans CJK SC"/>
        <family val="2"/>
      </rPr>
      <t xml:space="preserve">정합성 확인 항목을 발주 전 반드시 점검할 것</t>
    </r>
    <r>
      <rPr>
        <sz val="9"/>
        <color rgb="FF884400"/>
        <rFont val="Arial"/>
        <family val="0"/>
        <charset val="1"/>
      </rPr>
      <t xml:space="preserve">.</t>
    </r>
  </si>
  <si>
    <t xml:space="preserve">분류</t>
  </si>
  <si>
    <t xml:space="preserve">품목</t>
  </si>
  <si>
    <t xml:space="preserve">규격 / 사양</t>
  </si>
  <si>
    <t xml:space="preserve">수량</t>
  </si>
  <si>
    <t xml:space="preserve">단위</t>
  </si>
  <si>
    <t xml:space="preserve">예상단가(KRW)</t>
  </si>
  <si>
    <t xml:space="preserve">합계(KRW)</t>
  </si>
  <si>
    <t xml:space="preserve">추천 제품 / 비고</t>
  </si>
  <si>
    <r>
      <rPr>
        <b val="true"/>
        <sz val="11"/>
        <color rgb="FF1A3C3C"/>
        <rFont val="Arial"/>
        <family val="0"/>
        <charset val="1"/>
      </rPr>
      <t xml:space="preserve">A. </t>
    </r>
    <r>
      <rPr>
        <b val="true"/>
        <sz val="11"/>
        <color rgb="FF1A3C3C"/>
        <rFont val="Noto Sans CJK SC"/>
        <family val="2"/>
      </rPr>
      <t xml:space="preserve">구동</t>
    </r>
    <r>
      <rPr>
        <b val="true"/>
        <sz val="11"/>
        <color rgb="FF1A3C3C"/>
        <rFont val="Arial"/>
        <family val="0"/>
        <charset val="1"/>
      </rPr>
      <t xml:space="preserve">·</t>
    </r>
    <r>
      <rPr>
        <b val="true"/>
        <sz val="11"/>
        <color rgb="FF1A3C3C"/>
        <rFont val="Noto Sans CJK SC"/>
        <family val="2"/>
      </rPr>
      <t xml:space="preserve">직선운동</t>
    </r>
  </si>
  <si>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축 리니어 레일 세트</t>
    </r>
  </si>
  <si>
    <r>
      <rPr>
        <sz val="10"/>
        <rFont val="Arial"/>
        <family val="0"/>
        <charset val="1"/>
      </rPr>
      <t xml:space="preserve">SBR16 </t>
    </r>
    <r>
      <rPr>
        <sz val="10"/>
        <rFont val="Noto Sans CJK SC"/>
        <family val="2"/>
      </rPr>
      <t xml:space="preserve">지지레일 </t>
    </r>
    <r>
      <rPr>
        <sz val="10"/>
        <rFont val="Arial"/>
        <family val="0"/>
        <charset val="1"/>
      </rPr>
      <t xml:space="preserve">350mm ×2 + SBR16UU </t>
    </r>
    <r>
      <rPr>
        <sz val="10"/>
        <rFont val="Noto Sans CJK SC"/>
        <family val="2"/>
      </rPr>
      <t xml:space="preserve">블록 </t>
    </r>
    <r>
      <rPr>
        <sz val="10"/>
        <rFont val="Arial"/>
        <family val="0"/>
        <charset val="1"/>
      </rPr>
      <t xml:space="preserve">×4 (</t>
    </r>
    <r>
      <rPr>
        <sz val="10"/>
        <rFont val="Noto Sans CJK SC"/>
        <family val="2"/>
      </rPr>
      <t xml:space="preserve">갠트리 좌우</t>
    </r>
    <r>
      <rPr>
        <sz val="10"/>
        <rFont val="Arial"/>
        <family val="0"/>
        <charset val="1"/>
      </rPr>
      <t xml:space="preserve">)</t>
    </r>
  </si>
  <si>
    <t xml:space="preserve">세트</t>
  </si>
  <si>
    <r>
      <rPr>
        <sz val="10"/>
        <rFont val="Arial"/>
        <family val="0"/>
        <charset val="1"/>
      </rPr>
      <t xml:space="preserve">AliExpress/Amazon SBR16-350 set (~$12~). </t>
    </r>
    <r>
      <rPr>
        <sz val="10"/>
        <rFont val="Noto Sans CJK SC"/>
        <family val="2"/>
      </rPr>
      <t xml:space="preserve">블록 장착피치 </t>
    </r>
    <r>
      <rPr>
        <sz val="10"/>
        <rFont val="Arial"/>
        <family val="0"/>
        <charset val="1"/>
      </rPr>
      <t xml:space="preserve">M5 </t>
    </r>
    <r>
      <rPr>
        <sz val="10"/>
        <rFont val="Noto Sans CJK SC"/>
        <family val="2"/>
      </rPr>
      <t xml:space="preserve">확인 필요</t>
    </r>
  </si>
  <si>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축 구동 모터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전동</t>
    </r>
  </si>
  <si>
    <r>
      <rPr>
        <sz val="10"/>
        <rFont val="Arial"/>
        <family val="0"/>
        <charset val="1"/>
      </rPr>
      <t xml:space="preserve">NEMA17 + GT2 </t>
    </r>
    <r>
      <rPr>
        <sz val="10"/>
        <rFont val="Noto Sans CJK SC"/>
        <family val="2"/>
      </rPr>
      <t xml:space="preserve">벨트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풀리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아이들러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스트로크 </t>
    </r>
    <r>
      <rPr>
        <sz val="10"/>
        <rFont val="Arial"/>
        <family val="0"/>
        <charset val="1"/>
      </rPr>
      <t xml:space="preserve">165mm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)</t>
    </r>
  </si>
  <si>
    <t xml:space="preserve">원본 미모델 — 추가 필요. 리드스크류 대체 가능</t>
  </si>
  <si>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축 리드스크류 모터</t>
    </r>
  </si>
  <si>
    <r>
      <rPr>
        <sz val="10"/>
        <rFont val="Arial"/>
        <family val="0"/>
        <charset val="1"/>
      </rPr>
      <t xml:space="preserve">NEMA17 </t>
    </r>
    <r>
      <rPr>
        <sz val="10"/>
        <rFont val="Noto Sans CJK SC"/>
        <family val="2"/>
      </rPr>
      <t xml:space="preserve">외장형 </t>
    </r>
    <r>
      <rPr>
        <sz val="10"/>
        <rFont val="Arial"/>
        <family val="0"/>
        <charset val="1"/>
      </rPr>
      <t xml:space="preserve">Tr8×8 </t>
    </r>
    <r>
      <rPr>
        <sz val="10"/>
        <rFont val="Noto Sans CJK SC"/>
        <family val="2"/>
      </rPr>
      <t xml:space="preserve">리드스크류 </t>
    </r>
    <r>
      <rPr>
        <sz val="10"/>
        <rFont val="Arial"/>
        <family val="0"/>
        <charset val="1"/>
      </rPr>
      <t xml:space="preserve">300mm + </t>
    </r>
    <r>
      <rPr>
        <sz val="10"/>
        <rFont val="Noto Sans CJK SC"/>
        <family val="2"/>
      </rPr>
      <t xml:space="preserve">안티백래시 너트</t>
    </r>
  </si>
  <si>
    <t xml:space="preserve">개</t>
  </si>
  <si>
    <r>
      <rPr>
        <sz val="10"/>
        <rFont val="Arial"/>
        <family val="0"/>
        <charset val="1"/>
      </rPr>
      <t xml:space="preserve">StepperOnline 17E19S1684MB4-300RS </t>
    </r>
    <r>
      <rPr>
        <sz val="10"/>
        <rFont val="Noto Sans CJK SC"/>
        <family val="2"/>
      </rPr>
      <t xml:space="preserve">류 </t>
    </r>
    <r>
      <rPr>
        <sz val="10"/>
        <rFont val="Arial"/>
        <family val="0"/>
        <charset val="1"/>
      </rPr>
      <t xml:space="preserve">(~$25~30)</t>
    </r>
  </si>
  <si>
    <t xml:space="preserve">피스톤 가이드 봉</t>
  </si>
  <si>
    <r>
      <rPr>
        <sz val="10"/>
        <rFont val="Arial"/>
        <family val="0"/>
        <charset val="1"/>
      </rPr>
      <t xml:space="preserve">SUS Ø10 </t>
    </r>
    <r>
      <rPr>
        <sz val="10"/>
        <rFont val="Noto Sans CJK SC"/>
        <family val="2"/>
      </rPr>
      <t xml:space="preserve">중공봉 길이 </t>
    </r>
    <r>
      <rPr>
        <sz val="10"/>
        <rFont val="Arial"/>
        <family val="0"/>
        <charset val="1"/>
      </rPr>
      <t xml:space="preserve">~260mm (</t>
    </r>
    <r>
      <rPr>
        <sz val="10"/>
        <rFont val="Noto Sans CJK SC"/>
        <family val="2"/>
      </rPr>
      <t xml:space="preserve">가이드 파이프</t>
    </r>
    <r>
      <rPr>
        <sz val="10"/>
        <rFont val="Arial"/>
        <family val="0"/>
        <charset val="1"/>
      </rPr>
      <t xml:space="preserve">)</t>
    </r>
  </si>
  <si>
    <t xml:space="preserve">GUIDE_PIPE_D=10</t>
  </si>
  <si>
    <t xml:space="preserve">가이드 부싱</t>
  </si>
  <si>
    <t xml:space="preserve">청동/IGUS 부싱 내경Ø10·외경Ø12·H8</t>
  </si>
  <si>
    <t xml:space="preserve">BUSHING_OD=12</t>
  </si>
  <si>
    <r>
      <rPr>
        <sz val="10"/>
        <rFont val="Arial"/>
        <family val="0"/>
        <charset val="1"/>
      </rPr>
      <t xml:space="preserve">Z</t>
    </r>
    <r>
      <rPr>
        <sz val="10"/>
        <rFont val="Noto Sans CJK SC"/>
        <family val="2"/>
      </rPr>
      <t xml:space="preserve">모터 더미용 스텝모터</t>
    </r>
  </si>
  <si>
    <r>
      <rPr>
        <sz val="10"/>
        <rFont val="Arial"/>
        <family val="0"/>
        <charset val="1"/>
      </rPr>
      <t xml:space="preserve">NEMA17 (42mm) — </t>
    </r>
    <r>
      <rPr>
        <sz val="10"/>
        <rFont val="Noto Sans CJK SC"/>
        <family val="2"/>
      </rPr>
      <t xml:space="preserve">피스톤 하강 구동</t>
    </r>
  </si>
  <si>
    <t xml:space="preserve">이미 위 리드스크류형과 통합 가능</t>
  </si>
  <si>
    <r>
      <rPr>
        <b val="true"/>
        <sz val="11"/>
        <color rgb="FF1A3C3C"/>
        <rFont val="Arial"/>
        <family val="0"/>
        <charset val="1"/>
      </rPr>
      <t xml:space="preserve">B. </t>
    </r>
    <r>
      <rPr>
        <b val="true"/>
        <sz val="11"/>
        <color rgb="FF1A3C3C"/>
        <rFont val="Noto Sans CJK SC"/>
        <family val="2"/>
      </rPr>
      <t xml:space="preserve">회전</t>
    </r>
    <r>
      <rPr>
        <b val="true"/>
        <sz val="11"/>
        <color rgb="FF1A3C3C"/>
        <rFont val="Arial"/>
        <family val="0"/>
        <charset val="1"/>
      </rPr>
      <t xml:space="preserve">·</t>
    </r>
    <r>
      <rPr>
        <b val="true"/>
        <sz val="11"/>
        <color rgb="FF1A3C3C"/>
        <rFont val="Noto Sans CJK SC"/>
        <family val="2"/>
      </rPr>
      <t xml:space="preserve">서보</t>
    </r>
    <r>
      <rPr>
        <b val="true"/>
        <sz val="11"/>
        <color rgb="FF1A3C3C"/>
        <rFont val="Arial"/>
        <family val="0"/>
        <charset val="1"/>
      </rPr>
      <t xml:space="preserve">(</t>
    </r>
    <r>
      <rPr>
        <b val="true"/>
        <sz val="11"/>
        <color rgb="FF1A3C3C"/>
        <rFont val="Noto Sans CJK SC"/>
        <family val="2"/>
      </rPr>
      <t xml:space="preserve">리볼버</t>
    </r>
    <r>
      <rPr>
        <b val="true"/>
        <sz val="11"/>
        <color rgb="FF1A3C3C"/>
        <rFont val="Arial"/>
        <family val="0"/>
        <charset val="1"/>
      </rPr>
      <t xml:space="preserve">)</t>
    </r>
  </si>
  <si>
    <t xml:space="preserve">스마트 버스 서보</t>
  </si>
  <si>
    <r>
      <rPr>
        <sz val="10"/>
        <rFont val="Arial"/>
        <family val="0"/>
        <charset val="1"/>
      </rPr>
      <t xml:space="preserve">FEETECH STS3032 6V (</t>
    </r>
    <r>
      <rPr>
        <sz val="10"/>
        <rFont val="Noto Sans CJK SC"/>
        <family val="2"/>
      </rPr>
      <t xml:space="preserve">또는 토크 상위 </t>
    </r>
    <r>
      <rPr>
        <sz val="10"/>
        <rFont val="Arial"/>
        <family val="0"/>
        <charset val="1"/>
      </rPr>
      <t xml:space="preserve">STS3215/3046 </t>
    </r>
    <r>
      <rPr>
        <sz val="10"/>
        <rFont val="Noto Sans CJK SC"/>
        <family val="2"/>
      </rPr>
      <t xml:space="preserve">검토</t>
    </r>
    <r>
      <rPr>
        <sz val="10"/>
        <rFont val="Arial"/>
        <family val="0"/>
        <charset val="1"/>
      </rPr>
      <t xml:space="preserve">)</t>
    </r>
  </si>
  <si>
    <t xml:space="preserve">리볼버 PCD220 회전. 실측 토크/치수 확인 권장 (아래 검토시트)</t>
  </si>
  <si>
    <t xml:space="preserve">버스 서보 컨트롤러</t>
  </si>
  <si>
    <r>
      <rPr>
        <sz val="10"/>
        <rFont val="Arial"/>
        <family val="0"/>
        <charset val="1"/>
      </rPr>
      <t xml:space="preserve">FE-URT-1 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Waveshare Bus Servo Adapter (USB-TTL)</t>
    </r>
  </si>
  <si>
    <t xml:space="preserve">서보 제어/세팅용</t>
  </si>
  <si>
    <t xml:space="preserve">리볼버 회전축</t>
  </si>
  <si>
    <r>
      <rPr>
        <sz val="10"/>
        <rFont val="Arial"/>
        <family val="0"/>
        <charset val="1"/>
      </rPr>
      <t xml:space="preserve">Ø12 </t>
    </r>
    <r>
      <rPr>
        <sz val="10"/>
        <rFont val="Noto Sans CJK SC"/>
        <family val="2"/>
      </rPr>
      <t xml:space="preserve">강축 </t>
    </r>
    <r>
      <rPr>
        <sz val="10"/>
        <rFont val="Arial"/>
        <family val="0"/>
        <charset val="1"/>
      </rPr>
      <t xml:space="preserve">+ 6001ZZ </t>
    </r>
    <r>
      <rPr>
        <sz val="10"/>
        <rFont val="Noto Sans CJK SC"/>
        <family val="2"/>
      </rPr>
      <t xml:space="preserve">베어링 </t>
    </r>
    <r>
      <rPr>
        <sz val="10"/>
        <rFont val="Arial"/>
        <family val="0"/>
        <charset val="1"/>
      </rPr>
      <t xml:space="preserve">×2 + </t>
    </r>
    <r>
      <rPr>
        <sz val="10"/>
        <rFont val="Noto Sans CJK SC"/>
        <family val="2"/>
      </rPr>
      <t xml:space="preserve">스러스트 베어링</t>
    </r>
    <r>
      <rPr>
        <sz val="10"/>
        <rFont val="Arial"/>
        <family val="0"/>
        <charset val="1"/>
      </rPr>
      <t xml:space="preserve">/PTFE </t>
    </r>
    <r>
      <rPr>
        <sz val="10"/>
        <rFont val="Noto Sans CJK SC"/>
        <family val="2"/>
      </rPr>
      <t xml:space="preserve">와셔</t>
    </r>
  </si>
  <si>
    <t xml:space="preserve">SHAFT_D=12</t>
  </si>
  <si>
    <r>
      <rPr>
        <b val="true"/>
        <sz val="11"/>
        <color rgb="FF1A3C3C"/>
        <rFont val="Arial"/>
        <family val="0"/>
        <charset val="1"/>
      </rPr>
      <t xml:space="preserve">C. </t>
    </r>
    <r>
      <rPr>
        <b val="true"/>
        <sz val="11"/>
        <color rgb="FF1A3C3C"/>
        <rFont val="Noto Sans CJK SC"/>
        <family val="2"/>
      </rPr>
      <t xml:space="preserve">음향 계측</t>
    </r>
  </si>
  <si>
    <t xml:space="preserve">측정 마이크 (택1-A)</t>
  </si>
  <si>
    <r>
      <rPr>
        <sz val="10"/>
        <rFont val="Arial"/>
        <family val="0"/>
        <charset val="1"/>
      </rPr>
      <t xml:space="preserve">Earthworks M50 (3Hz~50kHz </t>
    </r>
    <r>
      <rPr>
        <sz val="10"/>
        <rFont val="Noto Sans CJK SC"/>
        <family val="2"/>
      </rPr>
      <t xml:space="preserve">무지향</t>
    </r>
    <r>
      <rPr>
        <sz val="10"/>
        <rFont val="Arial"/>
        <family val="0"/>
        <charset val="1"/>
      </rPr>
      <t xml:space="preserve">, XLR)</t>
    </r>
  </si>
  <si>
    <r>
      <rPr>
        <sz val="10"/>
        <rFont val="Arial"/>
        <family val="0"/>
        <charset val="1"/>
      </rPr>
      <t xml:space="preserve">$1,299. </t>
    </r>
    <r>
      <rPr>
        <sz val="10"/>
        <rFont val="Noto Sans CJK SC"/>
        <family val="2"/>
      </rPr>
      <t xml:space="preserve">고정밀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본체 </t>
    </r>
    <r>
      <rPr>
        <sz val="10"/>
        <rFont val="Arial"/>
        <family val="0"/>
        <charset val="1"/>
      </rPr>
      <t xml:space="preserve">Ø22 — </t>
    </r>
    <r>
      <rPr>
        <sz val="10"/>
        <rFont val="Noto Sans CJK SC"/>
        <family val="2"/>
      </rPr>
      <t xml:space="preserve">브래킷 보어와 일치</t>
    </r>
  </si>
  <si>
    <t xml:space="preserve">측정 마이크 (택1-B)</t>
  </si>
  <si>
    <r>
      <rPr>
        <sz val="10"/>
        <rFont val="Arial"/>
        <family val="0"/>
        <charset val="1"/>
      </rPr>
      <t xml:space="preserve">miniDSP UMIK-1 (USB </t>
    </r>
    <r>
      <rPr>
        <sz val="10"/>
        <rFont val="Noto Sans CJK SC"/>
        <family val="2"/>
      </rPr>
      <t xml:space="preserve">캘리브레이션 마이크</t>
    </r>
    <r>
      <rPr>
        <sz val="10"/>
        <rFont val="Arial"/>
        <family val="0"/>
        <charset val="1"/>
      </rPr>
      <t xml:space="preserve">) — </t>
    </r>
    <r>
      <rPr>
        <sz val="10"/>
        <rFont val="Noto Sans CJK SC"/>
        <family val="2"/>
      </rPr>
      <t xml:space="preserve">보급 대안</t>
    </r>
  </si>
  <si>
    <t xml:space="preserve">택1 시 수량 1로. 이 경우 오디오IF·앰프 불필요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</si>
  <si>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인치 우퍼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스피커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</si>
  <si>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OD106 / PCD116 / </t>
    </r>
    <r>
      <rPr>
        <sz val="10"/>
        <rFont val="Noto Sans CJK SC"/>
        <family val="2"/>
      </rPr>
      <t xml:space="preserve">컷아웃</t>
    </r>
    <r>
      <rPr>
        <sz val="10"/>
        <rFont val="Arial"/>
        <family val="0"/>
        <charset val="1"/>
      </rPr>
      <t xml:space="preserve">Ø102 / </t>
    </r>
    <r>
      <rPr>
        <sz val="10"/>
        <rFont val="Noto Sans CJK SC"/>
        <family val="2"/>
      </rPr>
      <t xml:space="preserve">깊이</t>
    </r>
    <r>
      <rPr>
        <sz val="10"/>
        <rFont val="Arial"/>
        <family val="0"/>
        <charset val="1"/>
      </rPr>
      <t xml:space="preserve">55mm, 4Ω~8Ω</t>
    </r>
  </si>
  <si>
    <t xml:space="preserve">데이터시트 치수 일치 제품 선정</t>
  </si>
  <si>
    <t xml:space="preserve">오디오 인터페이스</t>
  </si>
  <si>
    <r>
      <rPr>
        <sz val="10"/>
        <rFont val="Arial"/>
        <family val="0"/>
        <charset val="1"/>
      </rPr>
      <t xml:space="preserve">Focusrite Scarlett 2i2 4th Gen (48V </t>
    </r>
    <r>
      <rPr>
        <sz val="10"/>
        <rFont val="Noto Sans CJK SC"/>
        <family val="2"/>
      </rPr>
      <t xml:space="preserve">팬텀</t>
    </r>
    <r>
      <rPr>
        <sz val="10"/>
        <rFont val="Arial"/>
        <family val="0"/>
        <charset val="1"/>
      </rPr>
      <t xml:space="preserve">, 2in/2out)</t>
    </r>
  </si>
  <si>
    <r>
      <rPr>
        <sz val="10"/>
        <rFont val="Arial"/>
        <family val="0"/>
        <charset val="1"/>
      </rPr>
      <t xml:space="preserve">$225. M50 </t>
    </r>
    <r>
      <rPr>
        <sz val="10"/>
        <rFont val="Noto Sans CJK SC"/>
        <family val="2"/>
      </rPr>
      <t xml:space="preserve">사용 시 필요</t>
    </r>
    <r>
      <rPr>
        <sz val="10"/>
        <rFont val="Arial"/>
        <family val="0"/>
        <charset val="1"/>
      </rPr>
      <t xml:space="preserve">. UMIK-1</t>
    </r>
    <r>
      <rPr>
        <sz val="10"/>
        <rFont val="Noto Sans CJK SC"/>
        <family val="2"/>
      </rPr>
      <t xml:space="preserve">이면 생략</t>
    </r>
  </si>
  <si>
    <t xml:space="preserve">파워 앰프</t>
  </si>
  <si>
    <t xml:space="preserve">소형 Class-D 앰프 보드 (스피커 가진용)</t>
  </si>
  <si>
    <t xml:space="preserve">측정 신호 출력</t>
  </si>
  <si>
    <r>
      <rPr>
        <b val="true"/>
        <sz val="11"/>
        <color rgb="FF1A3C3C"/>
        <rFont val="Arial"/>
        <family val="0"/>
        <charset val="1"/>
      </rPr>
      <t xml:space="preserve">D. </t>
    </r>
    <r>
      <rPr>
        <b val="true"/>
        <sz val="11"/>
        <color rgb="FF1A3C3C"/>
        <rFont val="Noto Sans CJK SC"/>
        <family val="2"/>
      </rPr>
      <t xml:space="preserve">유체</t>
    </r>
    <r>
      <rPr>
        <b val="true"/>
        <sz val="11"/>
        <color rgb="FF1A3C3C"/>
        <rFont val="Arial"/>
        <family val="0"/>
        <charset val="1"/>
      </rPr>
      <t xml:space="preserve">(</t>
    </r>
    <r>
      <rPr>
        <b val="true"/>
        <sz val="11"/>
        <color rgb="FF1A3C3C"/>
        <rFont val="Noto Sans CJK SC"/>
        <family val="2"/>
      </rPr>
      <t xml:space="preserve">급수</t>
    </r>
    <r>
      <rPr>
        <b val="true"/>
        <sz val="11"/>
        <color rgb="FF1A3C3C"/>
        <rFont val="Arial"/>
        <family val="0"/>
        <charset val="1"/>
      </rPr>
      <t xml:space="preserve">·</t>
    </r>
    <r>
      <rPr>
        <b val="true"/>
        <sz val="11"/>
        <color rgb="FF1A3C3C"/>
        <rFont val="Noto Sans CJK SC"/>
        <family val="2"/>
      </rPr>
      <t xml:space="preserve">배수</t>
    </r>
    <r>
      <rPr>
        <b val="true"/>
        <sz val="11"/>
        <color rgb="FF1A3C3C"/>
        <rFont val="Arial"/>
        <family val="0"/>
        <charset val="1"/>
      </rPr>
      <t xml:space="preserve">)</t>
    </r>
  </si>
  <si>
    <t xml:space="preserve">페리스탈틱 펌프</t>
  </si>
  <si>
    <r>
      <rPr>
        <sz val="10"/>
        <rFont val="Arial"/>
        <family val="0"/>
        <charset val="1"/>
      </rPr>
      <t xml:space="preserve">12V </t>
    </r>
    <r>
      <rPr>
        <sz val="10"/>
        <rFont val="Noto Sans CJK SC"/>
        <family val="2"/>
      </rPr>
      <t xml:space="preserve">스테퍼 구동 정량 펌프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실리콘 튜브식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</si>
  <si>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$54~. </t>
    </r>
    <r>
      <rPr>
        <sz val="10"/>
        <rFont val="Noto Sans CJK SC"/>
        <family val="2"/>
      </rPr>
      <t xml:space="preserve">컵 급수</t>
    </r>
  </si>
  <si>
    <t xml:space="preserve">솔레노이드 밸브</t>
  </si>
  <si>
    <r>
      <rPr>
        <sz val="10"/>
        <rFont val="Arial"/>
        <family val="0"/>
        <charset val="1"/>
      </rPr>
      <t xml:space="preserve">12V </t>
    </r>
    <r>
      <rPr>
        <sz val="10"/>
        <rFont val="Noto Sans CJK SC"/>
        <family val="2"/>
      </rPr>
      <t xml:space="preserve">상시닫힘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호스바브 </t>
    </r>
    <r>
      <rPr>
        <sz val="10"/>
        <rFont val="Arial"/>
        <family val="0"/>
        <charset val="1"/>
      </rPr>
      <t xml:space="preserve">8mm (</t>
    </r>
    <r>
      <rPr>
        <sz val="10"/>
        <rFont val="Noto Sans CJK SC"/>
        <family val="2"/>
      </rPr>
      <t xml:space="preserve">배수 라인</t>
    </r>
    <r>
      <rPr>
        <sz val="10"/>
        <rFont val="Arial"/>
        <family val="0"/>
        <charset val="1"/>
      </rPr>
      <t xml:space="preserve">)</t>
    </r>
  </si>
  <si>
    <t xml:space="preserve">실리콘 튜브</t>
  </si>
  <si>
    <r>
      <rPr>
        <sz val="10"/>
        <rFont val="Arial"/>
        <family val="0"/>
        <charset val="1"/>
      </rPr>
      <t xml:space="preserve">ID6×OD8 </t>
    </r>
    <r>
      <rPr>
        <sz val="10"/>
        <rFont val="Noto Sans CJK SC"/>
        <family val="2"/>
      </rPr>
      <t xml:space="preserve">및 </t>
    </r>
    <r>
      <rPr>
        <sz val="10"/>
        <rFont val="Arial"/>
        <family val="0"/>
        <charset val="1"/>
      </rPr>
      <t xml:space="preserve">ID4×OD6, 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2~3m + </t>
    </r>
    <r>
      <rPr>
        <sz val="10"/>
        <rFont val="Noto Sans CJK SC"/>
        <family val="2"/>
      </rPr>
      <t xml:space="preserve">호스바브 피팅</t>
    </r>
  </si>
  <si>
    <t xml:space="preserve">브래킷 노즐/펌프/밸브 연결</t>
  </si>
  <si>
    <t xml:space="preserve">저수조 탱크</t>
  </si>
  <si>
    <t xml:space="preserve">약 4.5L 용기 (내부 ~172×322×55mm 수위)</t>
  </si>
  <si>
    <t xml:space="preserve">TANK 180×330×80</t>
  </si>
  <si>
    <r>
      <rPr>
        <b val="true"/>
        <sz val="11"/>
        <color rgb="FF1A3C3C"/>
        <rFont val="Arial"/>
        <family val="0"/>
        <charset val="1"/>
      </rPr>
      <t xml:space="preserve">E. </t>
    </r>
    <r>
      <rPr>
        <b val="true"/>
        <sz val="11"/>
        <color rgb="FF1A3C3C"/>
        <rFont val="Noto Sans CJK SC"/>
        <family val="2"/>
      </rPr>
      <t xml:space="preserve">전자</t>
    </r>
    <r>
      <rPr>
        <b val="true"/>
        <sz val="11"/>
        <color rgb="FF1A3C3C"/>
        <rFont val="Arial"/>
        <family val="0"/>
        <charset val="1"/>
      </rPr>
      <t xml:space="preserve">·</t>
    </r>
    <r>
      <rPr>
        <b val="true"/>
        <sz val="11"/>
        <color rgb="FF1A3C3C"/>
        <rFont val="Noto Sans CJK SC"/>
        <family val="2"/>
      </rPr>
      <t xml:space="preserve">제어</t>
    </r>
  </si>
  <si>
    <t xml:space="preserve">제어 보드</t>
  </si>
  <si>
    <r>
      <rPr>
        <sz val="10"/>
        <rFont val="Arial"/>
        <family val="0"/>
        <charset val="1"/>
      </rPr>
      <t xml:space="preserve">Arduino Mega + RAMPS 1.4 (</t>
    </r>
    <r>
      <rPr>
        <sz val="10"/>
        <rFont val="Noto Sans CJK SC"/>
        <family val="2"/>
      </rPr>
      <t xml:space="preserve">또는 </t>
    </r>
    <r>
      <rPr>
        <sz val="10"/>
        <rFont val="Arial"/>
        <family val="0"/>
        <charset val="1"/>
      </rPr>
      <t xml:space="preserve">CNC </t>
    </r>
    <r>
      <rPr>
        <sz val="10"/>
        <rFont val="Noto Sans CJK SC"/>
        <family val="2"/>
      </rPr>
      <t xml:space="preserve">쉴드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</si>
  <si>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축 스텝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서보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펌프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밸브 제어</t>
    </r>
  </si>
  <si>
    <t xml:space="preserve">스텝 드라이버</t>
  </si>
  <si>
    <r>
      <rPr>
        <sz val="10"/>
        <rFont val="Arial"/>
        <family val="0"/>
        <charset val="1"/>
      </rPr>
      <t xml:space="preserve">TMC2208 / A4988 (X, Z, </t>
    </r>
    <r>
      <rPr>
        <sz val="10"/>
        <rFont val="Noto Sans CJK SC"/>
        <family val="2"/>
      </rPr>
      <t xml:space="preserve">펌프용</t>
    </r>
    <r>
      <rPr>
        <sz val="10"/>
        <rFont val="Arial"/>
        <family val="0"/>
        <charset val="1"/>
      </rPr>
      <t xml:space="preserve">)</t>
    </r>
  </si>
  <si>
    <t xml:space="preserve">파워 서플라이</t>
  </si>
  <si>
    <r>
      <rPr>
        <sz val="10"/>
        <rFont val="Arial"/>
        <family val="0"/>
        <charset val="1"/>
      </rPr>
      <t xml:space="preserve">12V 10A </t>
    </r>
    <r>
      <rPr>
        <sz val="10"/>
        <rFont val="Noto Sans CJK SC"/>
        <family val="2"/>
      </rPr>
      <t xml:space="preserve">이상 </t>
    </r>
    <r>
      <rPr>
        <sz val="10"/>
        <rFont val="Arial"/>
        <family val="0"/>
        <charset val="1"/>
      </rPr>
      <t xml:space="preserve">SMPS (24V </t>
    </r>
    <r>
      <rPr>
        <sz val="10"/>
        <rFont val="Noto Sans CJK SC"/>
        <family val="2"/>
      </rPr>
      <t xml:space="preserve">옵션</t>
    </r>
    <r>
      <rPr>
        <sz val="10"/>
        <rFont val="Arial"/>
        <family val="0"/>
        <charset val="1"/>
      </rPr>
      <t xml:space="preserve">)</t>
    </r>
  </si>
  <si>
    <t xml:space="preserve">리미트/엔드스탑</t>
  </si>
  <si>
    <t xml:space="preserve">엔드스탑 스위치 (X·Z 원점) + 배선·단자·비상정지</t>
  </si>
  <si>
    <r>
      <rPr>
        <b val="true"/>
        <sz val="11"/>
        <color rgb="FF1A3C3C"/>
        <rFont val="Arial"/>
        <family val="0"/>
        <charset val="1"/>
      </rPr>
      <t xml:space="preserve">F. </t>
    </r>
    <r>
      <rPr>
        <b val="true"/>
        <sz val="11"/>
        <color rgb="FF1A3C3C"/>
        <rFont val="Noto Sans CJK SC"/>
        <family val="2"/>
      </rPr>
      <t xml:space="preserve">원통</t>
    </r>
    <r>
      <rPr>
        <b val="true"/>
        <sz val="11"/>
        <color rgb="FF1A3C3C"/>
        <rFont val="Arial"/>
        <family val="0"/>
        <charset val="1"/>
      </rPr>
      <t xml:space="preserve">·</t>
    </r>
    <r>
      <rPr>
        <b val="true"/>
        <sz val="11"/>
        <color rgb="FF1A3C3C"/>
        <rFont val="Noto Sans CJK SC"/>
        <family val="2"/>
      </rPr>
      <t xml:space="preserve">아크릴</t>
    </r>
    <r>
      <rPr>
        <b val="true"/>
        <sz val="11"/>
        <color rgb="FF1A3C3C"/>
        <rFont val="Arial"/>
        <family val="0"/>
        <charset val="1"/>
      </rPr>
      <t xml:space="preserve">(</t>
    </r>
    <r>
      <rPr>
        <b val="true"/>
        <sz val="11"/>
        <color rgb="FF1A3C3C"/>
        <rFont val="Noto Sans CJK SC"/>
        <family val="2"/>
      </rPr>
      <t xml:space="preserve">기성</t>
    </r>
    <r>
      <rPr>
        <b val="true"/>
        <sz val="11"/>
        <color rgb="FF1A3C3C"/>
        <rFont val="Arial"/>
        <family val="0"/>
        <charset val="1"/>
      </rPr>
      <t xml:space="preserve">)</t>
    </r>
  </si>
  <si>
    <t xml:space="preserve">카트리지 아크릴관</t>
  </si>
  <si>
    <r>
      <rPr>
        <sz val="10"/>
        <rFont val="Arial"/>
        <family val="0"/>
        <charset val="1"/>
      </rPr>
      <t xml:space="preserve">ID100 / OD106 (t3) </t>
    </r>
    <r>
      <rPr>
        <sz val="10"/>
        <rFont val="Noto Sans CJK SC"/>
        <family val="2"/>
      </rPr>
      <t xml:space="preserve">투명 아크릴 파이프 길이 </t>
    </r>
    <r>
      <rPr>
        <sz val="10"/>
        <rFont val="Arial"/>
        <family val="0"/>
        <charset val="1"/>
      </rPr>
      <t xml:space="preserve">150mm ×6</t>
    </r>
    <r>
      <rPr>
        <sz val="10"/>
        <rFont val="Noto Sans CJK SC"/>
        <family val="2"/>
      </rPr>
      <t xml:space="preserve">본</t>
    </r>
  </si>
  <si>
    <t xml:space="preserve">본</t>
  </si>
  <si>
    <t xml:space="preserve">리볼버 6슬롯. ACRYL_ID=100,t=3</t>
  </si>
  <si>
    <t xml:space="preserve">컵 본체 아크릴관</t>
  </si>
  <si>
    <r>
      <rPr>
        <sz val="10"/>
        <rFont val="Arial"/>
        <family val="0"/>
        <charset val="1"/>
      </rPr>
      <t xml:space="preserve">ID100 / OD112 (t6) </t>
    </r>
    <r>
      <rPr>
        <sz val="10"/>
        <rFont val="Noto Sans CJK SC"/>
        <family val="2"/>
      </rPr>
      <t xml:space="preserve">두꺼운 아크릴관 </t>
    </r>
    <r>
      <rPr>
        <sz val="10"/>
        <rFont val="Arial"/>
        <family val="0"/>
        <charset val="1"/>
      </rPr>
      <t xml:space="preserve">H180</t>
    </r>
  </si>
  <si>
    <r>
      <rPr>
        <sz val="10"/>
        <rFont val="Arial"/>
        <family val="0"/>
        <charset val="1"/>
      </rPr>
      <t xml:space="preserve">CUP_OD=112. </t>
    </r>
    <r>
      <rPr>
        <sz val="10"/>
        <rFont val="Noto Sans CJK SC"/>
        <family val="2"/>
      </rPr>
      <t xml:space="preserve">별도 규격</t>
    </r>
  </si>
  <si>
    <r>
      <rPr>
        <sz val="10"/>
        <rFont val="Arial"/>
        <family val="0"/>
        <charset val="1"/>
      </rPr>
      <t xml:space="preserve">PTFE </t>
    </r>
    <r>
      <rPr>
        <sz val="10"/>
        <rFont val="Noto Sans CJK SC"/>
        <family val="2"/>
      </rPr>
      <t xml:space="preserve">와셔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시트</t>
    </r>
  </si>
  <si>
    <t xml:space="preserve">리볼버 허브 스러스트용 테프론 와셔</t>
  </si>
  <si>
    <t xml:space="preserve">WASHER_T=1</t>
  </si>
  <si>
    <r>
      <rPr>
        <b val="true"/>
        <sz val="11"/>
        <color rgb="FF1A3C3C"/>
        <rFont val="Arial"/>
        <family val="0"/>
        <charset val="1"/>
      </rPr>
      <t xml:space="preserve">G. </t>
    </r>
    <r>
      <rPr>
        <b val="true"/>
        <sz val="11"/>
        <color rgb="FF1A3C3C"/>
        <rFont val="Noto Sans CJK SC"/>
        <family val="2"/>
      </rPr>
      <t xml:space="preserve">체결</t>
    </r>
    <r>
      <rPr>
        <b val="true"/>
        <sz val="11"/>
        <color rgb="FF1A3C3C"/>
        <rFont val="Arial"/>
        <family val="0"/>
        <charset val="1"/>
      </rPr>
      <t xml:space="preserve">·</t>
    </r>
    <r>
      <rPr>
        <b val="true"/>
        <sz val="11"/>
        <color rgb="FF1A3C3C"/>
        <rFont val="Noto Sans CJK SC"/>
        <family val="2"/>
      </rPr>
      <t xml:space="preserve">방수류</t>
    </r>
  </si>
  <si>
    <t xml:space="preserve">볼트·너트 세트</t>
  </si>
  <si>
    <r>
      <rPr>
        <sz val="10"/>
        <rFont val="Arial"/>
        <family val="0"/>
        <charset val="1"/>
      </rPr>
      <t xml:space="preserve">M5/M4/M3/M2.5 </t>
    </r>
    <r>
      <rPr>
        <sz val="10"/>
        <rFont val="Noto Sans CJK SC"/>
        <family val="2"/>
      </rPr>
      <t xml:space="preserve">캡스크류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너트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와셔 구색</t>
    </r>
  </si>
  <si>
    <t xml:space="preserve">프레임·스피커·모터·서보·브래킷</t>
  </si>
  <si>
    <r>
      <rPr>
        <sz val="10"/>
        <rFont val="Arial"/>
        <family val="0"/>
        <charset val="1"/>
      </rPr>
      <t xml:space="preserve">2020 T</t>
    </r>
    <r>
      <rPr>
        <sz val="10"/>
        <rFont val="Noto Sans CJK SC"/>
        <family val="2"/>
      </rPr>
      <t xml:space="preserve">너트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브라켓</t>
    </r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</si>
  <si>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너트</t>
    </r>
    <r>
      <rPr>
        <sz val="10"/>
        <rFont val="Arial"/>
        <family val="0"/>
        <charset val="1"/>
      </rPr>
      <t xml:space="preserve">(M5), </t>
    </r>
    <r>
      <rPr>
        <sz val="10"/>
        <rFont val="Noto Sans CJK SC"/>
        <family val="2"/>
      </rPr>
      <t xml:space="preserve">코너 브라켓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레벨링 풋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프레임 조립용</t>
    </r>
    <r>
      <rPr>
        <sz val="10"/>
        <rFont val="Arial"/>
        <family val="0"/>
        <charset val="1"/>
      </rPr>
      <t xml:space="preserve">)</t>
    </r>
  </si>
  <si>
    <t xml:space="preserve">프레임 외주여도 체결류 별도</t>
  </si>
  <si>
    <t xml:space="preserve">방수 소모품</t>
  </si>
  <si>
    <r>
      <rPr>
        <sz val="10"/>
        <rFont val="Arial"/>
        <family val="0"/>
        <charset val="1"/>
      </rPr>
      <t xml:space="preserve">O</t>
    </r>
    <r>
      <rPr>
        <sz val="10"/>
        <rFont val="Noto Sans CJK SC"/>
        <family val="2"/>
      </rPr>
      <t xml:space="preserve">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실리콘 실란트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방수 코팅제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프린팅 파트용</t>
    </r>
    <r>
      <rPr>
        <sz val="10"/>
        <rFont val="Arial"/>
        <family val="0"/>
        <charset val="1"/>
      </rPr>
      <t xml:space="preserve">)</t>
    </r>
  </si>
  <si>
    <t xml:space="preserve">수밀 처리</t>
  </si>
  <si>
    <r>
      <rPr>
        <b val="true"/>
        <sz val="11"/>
        <color rgb="FF1A3C3C"/>
        <rFont val="Arial"/>
        <family val="0"/>
        <charset val="1"/>
      </rPr>
      <t xml:space="preserve">H. </t>
    </r>
    <r>
      <rPr>
        <b val="true"/>
        <sz val="11"/>
        <color rgb="FF1A3C3C"/>
        <rFont val="Noto Sans CJK SC"/>
        <family val="2"/>
      </rPr>
      <t xml:space="preserve">외주 제작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</si>
  <si>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알루미늄 프레임</t>
    </r>
  </si>
  <si>
    <t xml:space="preserve">골조 일체 — 도면 제공 절단·태핑·조립 외주</t>
  </si>
  <si>
    <t xml:space="preserve">식</t>
  </si>
  <si>
    <t xml:space="preserve">별도 견적(업체). 본 합계 미포함</t>
  </si>
  <si>
    <t xml:space="preserve">소계 (구매 부품)</t>
  </si>
  <si>
    <t xml:space="preserve">공정</t>
  </si>
  <si>
    <t xml:space="preserve">부품(모듈)</t>
  </si>
  <si>
    <t xml:space="preserve">규격 / 형상</t>
  </si>
  <si>
    <t xml:space="preserve">권장 소재</t>
  </si>
  <si>
    <t xml:space="preserve">예상 가공·재료비(KRW)</t>
  </si>
  <si>
    <r>
      <rPr>
        <b val="true"/>
        <sz val="11"/>
        <color rgb="FF1A3C3C"/>
        <rFont val="Arial"/>
        <family val="0"/>
        <charset val="1"/>
      </rPr>
      <t xml:space="preserve">■ 3D </t>
    </r>
    <r>
      <rPr>
        <b val="true"/>
        <sz val="11"/>
        <color rgb="FF1A3C3C"/>
        <rFont val="Noto Sans CJK SC"/>
        <family val="2"/>
      </rPr>
      <t xml:space="preserve">프린팅</t>
    </r>
  </si>
  <si>
    <r>
      <rPr>
        <sz val="10"/>
        <rFont val="Arial"/>
        <family val="0"/>
        <charset val="1"/>
      </rPr>
      <t xml:space="preserve">3D</t>
    </r>
    <r>
      <rPr>
        <sz val="10"/>
        <rFont val="Noto Sans CJK SC"/>
        <family val="2"/>
      </rPr>
      <t xml:space="preserve">프린팅</t>
    </r>
  </si>
  <si>
    <t xml:space="preserve">음향계측 통합 브래킷</t>
  </si>
  <si>
    <t xml:space="preserve">스피커 슈라우드+마이크 가이드+급수 노즐 일체 (대형, ~180×140×130)</t>
  </si>
  <si>
    <t xml:space="preserve">PETG/ABS</t>
  </si>
  <si>
    <r>
      <rPr>
        <sz val="10"/>
        <rFont val="Arial"/>
        <family val="0"/>
        <charset val="1"/>
      </rPr>
      <t xml:space="preserve">acoustic_measurement_module. </t>
    </r>
    <r>
      <rPr>
        <sz val="10"/>
        <rFont val="Noto Sans CJK SC"/>
        <family val="2"/>
      </rPr>
      <t xml:space="preserve">강성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치수 중요</t>
    </r>
  </si>
  <si>
    <t xml:space="preserve">테스트 링 세트</t>
  </si>
  <si>
    <r>
      <rPr>
        <sz val="10"/>
        <rFont val="Arial"/>
        <family val="0"/>
        <charset val="1"/>
      </rPr>
      <t xml:space="preserve">ID 20/32/44/56/68/80, OD≈99.8, H10 — </t>
    </r>
    <r>
      <rPr>
        <sz val="10"/>
        <rFont val="Noto Sans CJK SC"/>
        <family val="2"/>
      </rPr>
      <t xml:space="preserve">색상별 식별</t>
    </r>
  </si>
  <si>
    <t xml:space="preserve">PLA/PETG</t>
  </si>
  <si>
    <t xml:space="preserve">슬롯당 최대15×6색. 실제 실험분만 출력</t>
  </si>
  <si>
    <t xml:space="preserve">리볼버 허브(하·상)</t>
  </si>
  <si>
    <t xml:space="preserve">스파이더형 PCD220 (하부 H40 / 상부 H20)</t>
  </si>
  <si>
    <t xml:space="preserve">분할 출력 가능. 샤프트Ø12 보스</t>
  </si>
  <si>
    <t xml:space="preserve">피스톤</t>
  </si>
  <si>
    <r>
      <rPr>
        <sz val="10"/>
        <rFont val="Arial"/>
        <family val="0"/>
        <charset val="1"/>
      </rPr>
      <t xml:space="preserve">Ø99.5 × H25, </t>
    </r>
    <r>
      <rPr>
        <sz val="10"/>
        <rFont val="Noto Sans CJK SC"/>
        <family val="2"/>
      </rPr>
      <t xml:space="preserve">중앙 스크류홀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육각너트 포켓</t>
    </r>
  </si>
  <si>
    <t xml:space="preserve">PETG</t>
  </si>
  <si>
    <t xml:space="preserve">수밀 코팅 필요(z_moving_parts)</t>
  </si>
  <si>
    <t xml:space="preserve">컵 케이지/하부</t>
  </si>
  <si>
    <r>
      <rPr>
        <sz val="10"/>
        <rFont val="Arial"/>
        <family val="0"/>
        <charset val="1"/>
      </rPr>
      <t xml:space="preserve">OD112, </t>
    </r>
    <r>
      <rPr>
        <sz val="10"/>
        <rFont val="Noto Sans CJK SC"/>
        <family val="2"/>
      </rPr>
      <t xml:space="preserve">케이지</t>
    </r>
    <r>
      <rPr>
        <sz val="10"/>
        <rFont val="Arial"/>
        <family val="0"/>
        <charset val="1"/>
      </rPr>
      <t xml:space="preserve">H60, </t>
    </r>
    <r>
      <rPr>
        <sz val="10"/>
        <rFont val="Noto Sans CJK SC"/>
        <family val="2"/>
      </rPr>
      <t xml:space="preserve">모터마운트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립</t>
    </r>
  </si>
  <si>
    <t xml:space="preserve">컵관은 아크릴 기성, 케이지는 출력</t>
  </si>
  <si>
    <t xml:space="preserve">부싱 홀더·소형 어댑터</t>
  </si>
  <si>
    <t xml:space="preserve">가이드 부싱/드레인 어댑터 등 소품</t>
  </si>
  <si>
    <t xml:space="preserve">■ 레이저 커팅 / 절곡·CNC</t>
  </si>
  <si>
    <t xml:space="preserve">레이저커팅</t>
  </si>
  <si>
    <t xml:space="preserve">상부 고정판</t>
  </si>
  <si>
    <r>
      <rPr>
        <sz val="10"/>
        <rFont val="Arial"/>
        <family val="0"/>
        <charset val="1"/>
      </rPr>
      <t xml:space="preserve">~370×390×t10, </t>
    </r>
    <r>
      <rPr>
        <sz val="10"/>
        <rFont val="Noto Sans CJK SC"/>
        <family val="2"/>
      </rPr>
      <t xml:space="preserve">컵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카트리지 개구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프레임 회피컷</t>
    </r>
  </si>
  <si>
    <t xml:space="preserve">아크릴 10mm</t>
  </si>
  <si>
    <r>
      <rPr>
        <sz val="10"/>
        <rFont val="Arial"/>
        <family val="0"/>
        <charset val="1"/>
      </rPr>
      <t xml:space="preserve">upper_fixed_base_plate. </t>
    </r>
    <r>
      <rPr>
        <sz val="10"/>
        <rFont val="Noto Sans CJK SC"/>
        <family val="2"/>
      </rPr>
      <t xml:space="preserve">또는 알루미늄</t>
    </r>
  </si>
  <si>
    <t xml:space="preserve">레이저/CNC</t>
  </si>
  <si>
    <r>
      <rPr>
        <sz val="10"/>
        <rFont val="Arial"/>
        <family val="0"/>
        <charset val="1"/>
      </rPr>
      <t xml:space="preserve">H-</t>
    </r>
    <r>
      <rPr>
        <sz val="10"/>
        <rFont val="Noto Sans CJK SC"/>
        <family val="2"/>
      </rPr>
      <t xml:space="preserve">브리지 어댑터판</t>
    </r>
  </si>
  <si>
    <r>
      <rPr>
        <sz val="10"/>
        <rFont val="Arial"/>
        <family val="0"/>
        <charset val="1"/>
      </rPr>
      <t xml:space="preserve">Ø122 </t>
    </r>
    <r>
      <rPr>
        <sz val="10"/>
        <rFont val="Noto Sans CJK SC"/>
        <family val="2"/>
      </rPr>
      <t xml:space="preserve">하중판 </t>
    </r>
    <r>
      <rPr>
        <sz val="10"/>
        <rFont val="Arial"/>
        <family val="0"/>
        <charset val="1"/>
      </rPr>
      <t xml:space="preserve">t12, </t>
    </r>
    <r>
      <rPr>
        <sz val="10"/>
        <rFont val="Noto Sans CJK SC"/>
        <family val="2"/>
      </rPr>
      <t xml:space="preserve">슬라이더↔컵 연결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컵 하중</t>
    </r>
    <r>
      <rPr>
        <sz val="10"/>
        <rFont val="Arial"/>
        <family val="0"/>
        <charset val="1"/>
      </rPr>
      <t xml:space="preserve">)</t>
    </r>
  </si>
  <si>
    <t xml:space="preserve">알루미늄 t12</t>
  </si>
  <si>
    <t xml:space="preserve">하중부재 → CNC/워터젯 권장(아크릴 적층 대안)</t>
  </si>
  <si>
    <t xml:space="preserve">서보 마운트 플레이트</t>
  </si>
  <si>
    <r>
      <rPr>
        <sz val="10"/>
        <rFont val="Arial"/>
        <family val="0"/>
        <charset val="1"/>
      </rPr>
      <t xml:space="preserve">70×110×t8, </t>
    </r>
    <r>
      <rPr>
        <sz val="10"/>
        <rFont val="Noto Sans CJK SC"/>
        <family val="2"/>
      </rPr>
      <t xml:space="preserve">서보 컷아웃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볼트홀</t>
    </r>
  </si>
  <si>
    <t xml:space="preserve">아크릴/알루미늄 8mm</t>
  </si>
  <si>
    <t xml:space="preserve">upper_servo_frame</t>
  </si>
  <si>
    <t xml:space="preserve">펌프·밸브 마운트</t>
  </si>
  <si>
    <t xml:space="preserve">소형 브라켓 플레이트 2~3종</t>
  </si>
  <si>
    <t xml:space="preserve">아크릴 5mm</t>
  </si>
  <si>
    <t xml:space="preserve">소계 (제작 재료·가공비)</t>
  </si>
  <si>
    <t xml:space="preserve">#</t>
  </si>
  <si>
    <t xml:space="preserve">검토 항목</t>
  </si>
  <si>
    <r>
      <rPr>
        <b val="true"/>
        <sz val="11"/>
        <color rgb="FFFFFFFF"/>
        <rFont val="Arial"/>
        <family val="0"/>
        <charset val="1"/>
      </rPr>
      <t xml:space="preserve">SCAD </t>
    </r>
    <r>
      <rPr>
        <b val="true"/>
        <sz val="11"/>
        <color rgb="FFFFFFFF"/>
        <rFont val="Noto Sans CJK SC"/>
        <family val="2"/>
      </rPr>
      <t xml:space="preserve">값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현황</t>
    </r>
  </si>
  <si>
    <t xml:space="preserve">확인·조치 필요 사항</t>
  </si>
  <si>
    <t xml:space="preserve">우선도</t>
  </si>
  <si>
    <t xml:space="preserve">서보 토크/치수</t>
  </si>
  <si>
    <r>
      <rPr>
        <sz val="10"/>
        <rFont val="Arial"/>
        <family val="0"/>
        <charset val="1"/>
      </rPr>
      <t xml:space="preserve">STS3032=4.5kg·cm, </t>
    </r>
    <r>
      <rPr>
        <sz val="10"/>
        <rFont val="Noto Sans CJK SC"/>
        <family val="2"/>
      </rPr>
      <t xml:space="preserve">실측 </t>
    </r>
    <r>
      <rPr>
        <sz val="10"/>
        <rFont val="Arial"/>
        <family val="0"/>
        <charset val="1"/>
      </rPr>
      <t xml:space="preserve">32×12×27.5 (</t>
    </r>
    <r>
      <rPr>
        <sz val="10"/>
        <rFont val="Noto Sans CJK SC"/>
        <family val="2"/>
      </rPr>
      <t xml:space="preserve">모델은 </t>
    </r>
    <r>
      <rPr>
        <sz val="10"/>
        <rFont val="Arial"/>
        <family val="0"/>
        <charset val="1"/>
      </rPr>
      <t xml:space="preserve">45.5×24.7×37)</t>
    </r>
  </si>
  <si>
    <t xml:space="preserve">리볼버(PCD220+링 다수) 회전토크 부족 가능 + 치수 불일치 → STS3215/3046 등 상위모델 검토</t>
  </si>
  <si>
    <t xml:space="preserve">높음</t>
  </si>
  <si>
    <r>
      <rPr>
        <sz val="10"/>
        <rFont val="Arial"/>
        <family val="0"/>
        <charset val="1"/>
      </rPr>
      <t xml:space="preserve">X</t>
    </r>
    <r>
      <rPr>
        <sz val="10"/>
        <rFont val="Noto Sans CJK SC"/>
        <family val="2"/>
      </rPr>
      <t xml:space="preserve">축 구동계</t>
    </r>
  </si>
  <si>
    <t xml:space="preserve">원본에 모터/벨트 미모델 (레일·블록만 존재)</t>
  </si>
  <si>
    <r>
      <rPr>
        <sz val="10"/>
        <rFont val="Arial"/>
        <family val="0"/>
        <charset val="1"/>
      </rPr>
      <t xml:space="preserve">NEMA17+</t>
    </r>
    <r>
      <rPr>
        <sz val="10"/>
        <rFont val="Noto Sans CJK SC"/>
        <family val="2"/>
      </rPr>
      <t xml:space="preserve">벨트 또는 리드스크류 추가 설계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장착 필요</t>
    </r>
  </si>
  <si>
    <r>
      <rPr>
        <sz val="10"/>
        <rFont val="Arial"/>
        <family val="0"/>
        <charset val="1"/>
      </rPr>
      <t xml:space="preserve">SBR16 </t>
    </r>
    <r>
      <rPr>
        <sz val="10"/>
        <rFont val="Noto Sans CJK SC"/>
        <family val="2"/>
      </rPr>
      <t xml:space="preserve">블록 피치</t>
    </r>
  </si>
  <si>
    <t xml:space="preserve">X_BLOCK 42×59, PITCH 20×32</t>
  </si>
  <si>
    <t xml:space="preserve">실제 SBR16UU 장착홀 피치와 어댑터판 홀 일치 확인</t>
  </si>
  <si>
    <t xml:space="preserve">중간</t>
  </si>
  <si>
    <t xml:space="preserve">하중부재 소재</t>
  </si>
  <si>
    <r>
      <rPr>
        <sz val="10"/>
        <rFont val="Arial"/>
        <family val="0"/>
        <charset val="1"/>
      </rPr>
      <t xml:space="preserve">H-</t>
    </r>
    <r>
      <rPr>
        <sz val="10"/>
        <rFont val="Noto Sans CJK SC"/>
        <family val="2"/>
      </rPr>
      <t xml:space="preserve">브리지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상부판을 아크릴로 표기</t>
    </r>
  </si>
  <si>
    <t xml:space="preserve">물+컵 하중 → H-브리지는 알루미늄(CNC/워터젯) 권장</t>
  </si>
  <si>
    <t xml:space="preserve">수밀(방수)</t>
  </si>
  <si>
    <t xml:space="preserve">피스톤·케이지·노즐 3D프린팅</t>
  </si>
  <si>
    <t xml:space="preserve">프린팅 파트 수밀 코팅/도장, O링·실란트 적용</t>
  </si>
  <si>
    <t xml:space="preserve">마이크 보어 정합</t>
  </si>
  <si>
    <t xml:space="preserve">브래킷 보어 Ø22 = M50 본체</t>
  </si>
  <si>
    <r>
      <rPr>
        <sz val="10"/>
        <rFont val="Arial"/>
        <family val="0"/>
        <charset val="1"/>
      </rPr>
      <t xml:space="preserve">UMIK-1(Ø~22?) </t>
    </r>
    <r>
      <rPr>
        <sz val="10"/>
        <rFont val="Noto Sans CJK SC"/>
        <family val="2"/>
      </rPr>
      <t xml:space="preserve">대체 시 보어 치수 재확인</t>
    </r>
  </si>
  <si>
    <t xml:space="preserve">리드스크류 길이</t>
  </si>
  <si>
    <t xml:space="preserve">피스톤 스크류 h290, 가이드봉 h260</t>
  </si>
  <si>
    <t xml:space="preserve">실제 스트로크(Z_MOVE 최대 -30) 대비 여유·고정부 간섭 확인</t>
  </si>
  <si>
    <t xml:space="preserve">낮음</t>
  </si>
  <si>
    <t xml:space="preserve">아크릴관 공차</t>
  </si>
  <si>
    <r>
      <rPr>
        <sz val="10"/>
        <rFont val="Arial"/>
        <family val="0"/>
        <charset val="1"/>
      </rPr>
      <t xml:space="preserve">ACRYL ID100/OD106, </t>
    </r>
    <r>
      <rPr>
        <sz val="10"/>
        <rFont val="Noto Sans CJK SC"/>
        <family val="2"/>
      </rPr>
      <t xml:space="preserve">링 </t>
    </r>
    <r>
      <rPr>
        <sz val="10"/>
        <rFont val="Arial"/>
        <family val="0"/>
        <charset val="1"/>
      </rPr>
      <t xml:space="preserve">OD99.8</t>
    </r>
  </si>
  <si>
    <t xml:space="preserve">기성 아크릴관 실측공차 → 링/피스톤 끼워맞춤 재조정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</si>
</sst>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\원"/>
    <numFmt numFmtId="166" formatCode="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3C3C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sz val="9"/>
      <color rgb="FF884400"/>
      <name val="Noto Sans CJK SC"/>
      <family val="2"/>
      <charset val="1"/>
    </font>
    <font>
      <sz val="9"/>
      <color rgb="FF884400"/>
      <name val="Arial"/>
      <family val="0"/>
      <charset val="1"/>
    </font>
    <font>
      <sz val="9"/>
      <color rgb="FF884400"/>
      <name val="Noto Sans CJK SC"/>
      <family val="2"/>
    </font>
    <font>
      <b val="true"/>
      <sz val="11"/>
      <color rgb="FF1A3C3C"/>
      <name val="Arial"/>
      <family val="0"/>
      <charset val="1"/>
    </font>
    <font>
      <b val="true"/>
      <sz val="11"/>
      <color rgb="FF1A3C3C"/>
      <name val="Noto Sans CJK SC"/>
      <family val="2"/>
    </font>
    <font>
      <b val="true"/>
      <sz val="11"/>
      <color rgb="FF1A3C3C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2E5E5E"/>
        <bgColor rgb="FF1A3C3C"/>
      </patternFill>
    </fill>
    <fill>
      <patternFill patternType="solid">
        <fgColor rgb="FFBDD7D7"/>
        <bgColor rgb="FFB0C4C4"/>
      </patternFill>
    </fill>
    <fill>
      <patternFill patternType="solid">
        <fgColor rgb="FFD9E8E8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C4"/>
      </left>
      <right style="thin">
        <color rgb="FFB0C4C4"/>
      </right>
      <top style="thin">
        <color rgb="FFB0C4C4"/>
      </top>
      <bottom style="thin">
        <color rgb="FFB0C4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5E"/>
      <rgbColor rgb="FFB0C4C4"/>
      <rgbColor rgb="FF808080"/>
      <rgbColor rgb="FF9999FF"/>
      <rgbColor rgb="FF993366"/>
      <rgbColor rgb="FFFFF2CC"/>
      <rgbColor rgb="FFD9E8E8"/>
      <rgbColor rgb="FF660066"/>
      <rgbColor rgb="FFFF8080"/>
      <rgbColor rgb="FF0066CC"/>
      <rgbColor rgb="FFBD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84400"/>
      <rgbColor rgb="FF993366"/>
      <rgbColor rgb="FF333399"/>
      <rgbColor rgb="FF1A3C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34"/>
  </cols>
  <sheetData>
    <row r="1" customFormat="false" ht="22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5" customFormat="false" ht="16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true" outlineLevel="0" collapsed="false">
      <c r="A6" s="5" t="s">
        <v>8</v>
      </c>
      <c r="B6" s="5" t="s">
        <v>9</v>
      </c>
      <c r="C6" s="6" t="n">
        <f aca="false">COUNTA(구매부품!B:B)-COUNTIF(구매부품!A:A,"구분")*0-1</f>
        <v>30</v>
      </c>
      <c r="D6" s="7" t="n">
        <f aca="false">구매부품!G39</f>
        <v>2924000</v>
      </c>
      <c r="E6" s="5" t="s">
        <v>10</v>
      </c>
    </row>
    <row r="7" customFormat="false" ht="15" hidden="false" customHeight="true" outlineLevel="0" collapsed="false">
      <c r="A7" s="5" t="s">
        <v>11</v>
      </c>
      <c r="B7" s="5" t="s">
        <v>12</v>
      </c>
      <c r="C7" s="6" t="n">
        <f aca="false">COUNTA(제작부품!B:B)-1</f>
        <v>11</v>
      </c>
      <c r="D7" s="7" t="n">
        <f aca="false">제작부품!G14</f>
        <v>132500</v>
      </c>
      <c r="E7" s="8" t="s">
        <v>13</v>
      </c>
    </row>
    <row r="8" customFormat="false" ht="15" hidden="false" customHeight="true" outlineLevel="0" collapsed="false">
      <c r="A8" s="9" t="s">
        <v>14</v>
      </c>
      <c r="B8" s="9"/>
      <c r="C8" s="9"/>
      <c r="D8" s="10" t="n">
        <f aca="false">D6+D7</f>
        <v>3056500</v>
      </c>
      <c r="E8" s="9"/>
    </row>
    <row r="10" customFormat="false" ht="15" hidden="false" customHeight="true" outlineLevel="0" collapsed="false">
      <c r="A10" s="11" t="s">
        <v>15</v>
      </c>
    </row>
    <row r="11" customFormat="false" ht="15" hidden="false" customHeight="true" outlineLevel="0" collapsed="false">
      <c r="A11" s="11" t="s">
        <v>16</v>
      </c>
    </row>
    <row r="12" customFormat="false" ht="15" hidden="false" customHeight="true" outlineLevel="0" collapsed="false">
      <c r="A12" s="12" t="s">
        <v>17</v>
      </c>
    </row>
    <row r="13" customFormat="false" ht="15" hidden="false" customHeight="true" outlineLevel="0" collapsed="false">
      <c r="A13" s="12" t="s">
        <v>18</v>
      </c>
    </row>
    <row r="14" customFormat="false" ht="15" hidden="false" customHeight="true" outlineLevel="0" collapsed="false">
      <c r="A14" s="1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40"/>
    <col collapsed="false" customWidth="true" hidden="false" outlineLevel="0" max="5" min="4" style="1" width="7"/>
    <col collapsed="false" customWidth="true" hidden="false" outlineLevel="0" max="7" min="6" style="1" width="15"/>
    <col collapsed="false" customWidth="true" hidden="false" outlineLevel="0" max="8" min="8" style="1" width="40"/>
  </cols>
  <sheetData>
    <row r="1" customFormat="false" ht="16.5" hidden="false" customHeight="true" outlineLevel="0" collapsed="false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customFormat="false" ht="16.5" hidden="false" customHeight="true" outlineLevel="0" collapsed="false">
      <c r="A2" s="13" t="s">
        <v>28</v>
      </c>
      <c r="B2" s="13"/>
      <c r="C2" s="13"/>
      <c r="D2" s="13"/>
      <c r="E2" s="13"/>
      <c r="F2" s="13"/>
      <c r="G2" s="13"/>
      <c r="H2" s="13"/>
    </row>
    <row r="3" customFormat="false" ht="29.25" hidden="false" customHeight="true" outlineLevel="0" collapsed="false">
      <c r="A3" s="5"/>
      <c r="B3" s="8" t="s">
        <v>29</v>
      </c>
      <c r="C3" s="8" t="s">
        <v>30</v>
      </c>
      <c r="D3" s="6" t="n">
        <v>1</v>
      </c>
      <c r="E3" s="14" t="s">
        <v>31</v>
      </c>
      <c r="F3" s="15" t="n">
        <v>45000</v>
      </c>
      <c r="G3" s="15" t="n">
        <f aca="false">D3*F3</f>
        <v>45000</v>
      </c>
      <c r="H3" s="8" t="s">
        <v>32</v>
      </c>
    </row>
    <row r="4" customFormat="false" ht="29.25" hidden="false" customHeight="true" outlineLevel="0" collapsed="false">
      <c r="A4" s="5"/>
      <c r="B4" s="8" t="s">
        <v>33</v>
      </c>
      <c r="C4" s="8" t="s">
        <v>34</v>
      </c>
      <c r="D4" s="14" t="n">
        <v>1</v>
      </c>
      <c r="E4" s="14" t="s">
        <v>31</v>
      </c>
      <c r="F4" s="15" t="n">
        <v>35000</v>
      </c>
      <c r="G4" s="15" t="n">
        <f aca="false">D4*F4</f>
        <v>35000</v>
      </c>
      <c r="H4" s="5" t="s">
        <v>35</v>
      </c>
    </row>
    <row r="5" customFormat="false" ht="29.25" hidden="false" customHeight="true" outlineLevel="0" collapsed="false">
      <c r="A5" s="5"/>
      <c r="B5" s="8" t="s">
        <v>36</v>
      </c>
      <c r="C5" s="8" t="s">
        <v>37</v>
      </c>
      <c r="D5" s="14" t="n">
        <v>1</v>
      </c>
      <c r="E5" s="14" t="s">
        <v>38</v>
      </c>
      <c r="F5" s="15" t="n">
        <v>40000</v>
      </c>
      <c r="G5" s="15" t="n">
        <f aca="false">D5*F5</f>
        <v>40000</v>
      </c>
      <c r="H5" s="8" t="s">
        <v>39</v>
      </c>
    </row>
    <row r="6" customFormat="false" ht="15" hidden="false" customHeight="true" outlineLevel="0" collapsed="false">
      <c r="A6" s="5"/>
      <c r="B6" s="5" t="s">
        <v>40</v>
      </c>
      <c r="C6" s="8" t="s">
        <v>41</v>
      </c>
      <c r="D6" s="14" t="n">
        <v>1</v>
      </c>
      <c r="E6" s="14" t="s">
        <v>38</v>
      </c>
      <c r="F6" s="15" t="n">
        <v>8000</v>
      </c>
      <c r="G6" s="15" t="n">
        <f aca="false">D6*F6</f>
        <v>8000</v>
      </c>
      <c r="H6" s="8" t="s">
        <v>42</v>
      </c>
    </row>
    <row r="7" customFormat="false" ht="15" hidden="false" customHeight="true" outlineLevel="0" collapsed="false">
      <c r="A7" s="5"/>
      <c r="B7" s="5" t="s">
        <v>43</v>
      </c>
      <c r="C7" s="5" t="s">
        <v>44</v>
      </c>
      <c r="D7" s="14" t="n">
        <v>2</v>
      </c>
      <c r="E7" s="14" t="s">
        <v>38</v>
      </c>
      <c r="F7" s="15" t="n">
        <v>4000</v>
      </c>
      <c r="G7" s="15" t="n">
        <f aca="false">D7*F7</f>
        <v>8000</v>
      </c>
      <c r="H7" s="8" t="s">
        <v>45</v>
      </c>
    </row>
    <row r="8" customFormat="false" ht="15" hidden="false" customHeight="true" outlineLevel="0" collapsed="false">
      <c r="A8" s="5"/>
      <c r="B8" s="8" t="s">
        <v>46</v>
      </c>
      <c r="C8" s="8" t="s">
        <v>47</v>
      </c>
      <c r="D8" s="14" t="n">
        <v>1</v>
      </c>
      <c r="E8" s="14" t="s">
        <v>38</v>
      </c>
      <c r="F8" s="15" t="n">
        <v>18000</v>
      </c>
      <c r="G8" s="15" t="n">
        <f aca="false">D8*F8</f>
        <v>18000</v>
      </c>
      <c r="H8" s="5" t="s">
        <v>48</v>
      </c>
    </row>
    <row r="9" customFormat="false" ht="16.5" hidden="false" customHeight="true" outlineLevel="0" collapsed="false">
      <c r="A9" s="13" t="s">
        <v>49</v>
      </c>
      <c r="B9" s="13"/>
      <c r="C9" s="13"/>
      <c r="D9" s="13"/>
      <c r="E9" s="13"/>
      <c r="F9" s="13"/>
      <c r="G9" s="13"/>
      <c r="H9" s="13"/>
    </row>
    <row r="10" customFormat="false" ht="29.25" hidden="false" customHeight="true" outlineLevel="0" collapsed="false">
      <c r="A10" s="5"/>
      <c r="B10" s="5" t="s">
        <v>50</v>
      </c>
      <c r="C10" s="8" t="s">
        <v>51</v>
      </c>
      <c r="D10" s="14" t="n">
        <v>1</v>
      </c>
      <c r="E10" s="14" t="s">
        <v>38</v>
      </c>
      <c r="F10" s="15" t="n">
        <v>55000</v>
      </c>
      <c r="G10" s="15" t="n">
        <f aca="false">D10*F10</f>
        <v>55000</v>
      </c>
      <c r="H10" s="5" t="s">
        <v>52</v>
      </c>
    </row>
    <row r="11" customFormat="false" ht="26.25" hidden="false" customHeight="true" outlineLevel="0" collapsed="false">
      <c r="A11" s="5"/>
      <c r="B11" s="5" t="s">
        <v>53</v>
      </c>
      <c r="C11" s="8" t="s">
        <v>54</v>
      </c>
      <c r="D11" s="14" t="n">
        <v>1</v>
      </c>
      <c r="E11" s="14" t="s">
        <v>38</v>
      </c>
      <c r="F11" s="15" t="n">
        <v>15000</v>
      </c>
      <c r="G11" s="15" t="n">
        <f aca="false">D11*F11</f>
        <v>15000</v>
      </c>
      <c r="H11" s="5" t="s">
        <v>55</v>
      </c>
    </row>
    <row r="12" customFormat="false" ht="29.25" hidden="false" customHeight="true" outlineLevel="0" collapsed="false">
      <c r="A12" s="5"/>
      <c r="B12" s="5" t="s">
        <v>56</v>
      </c>
      <c r="C12" s="8" t="s">
        <v>57</v>
      </c>
      <c r="D12" s="14" t="n">
        <v>1</v>
      </c>
      <c r="E12" s="14" t="s">
        <v>31</v>
      </c>
      <c r="F12" s="15" t="n">
        <v>22000</v>
      </c>
      <c r="G12" s="15" t="n">
        <f aca="false">D12*F12</f>
        <v>22000</v>
      </c>
      <c r="H12" s="8" t="s">
        <v>58</v>
      </c>
    </row>
    <row r="13" customFormat="false" ht="16.5" hidden="false" customHeight="true" outlineLevel="0" collapsed="false">
      <c r="A13" s="13" t="s">
        <v>59</v>
      </c>
      <c r="B13" s="13"/>
      <c r="C13" s="13"/>
      <c r="D13" s="13"/>
      <c r="E13" s="13"/>
      <c r="F13" s="13"/>
      <c r="G13" s="13"/>
      <c r="H13" s="13"/>
    </row>
    <row r="14" customFormat="false" ht="15" hidden="false" customHeight="true" outlineLevel="0" collapsed="false">
      <c r="A14" s="5"/>
      <c r="B14" s="5" t="s">
        <v>60</v>
      </c>
      <c r="C14" s="8" t="s">
        <v>61</v>
      </c>
      <c r="D14" s="14" t="n">
        <v>1</v>
      </c>
      <c r="E14" s="14" t="s">
        <v>38</v>
      </c>
      <c r="F14" s="15" t="n">
        <v>1800000</v>
      </c>
      <c r="G14" s="15" t="n">
        <f aca="false">D14*F14</f>
        <v>1800000</v>
      </c>
      <c r="H14" s="8" t="s">
        <v>62</v>
      </c>
    </row>
    <row r="15" customFormat="false" ht="29.25" hidden="false" customHeight="true" outlineLevel="0" collapsed="false">
      <c r="A15" s="5"/>
      <c r="B15" s="5" t="s">
        <v>63</v>
      </c>
      <c r="C15" s="8" t="s">
        <v>64</v>
      </c>
      <c r="D15" s="14" t="n">
        <v>0</v>
      </c>
      <c r="E15" s="14" t="s">
        <v>38</v>
      </c>
      <c r="F15" s="15" t="n">
        <v>150000</v>
      </c>
      <c r="G15" s="15" t="n">
        <f aca="false">D15*F15</f>
        <v>0</v>
      </c>
      <c r="H15" s="5" t="s">
        <v>65</v>
      </c>
    </row>
    <row r="16" customFormat="false" ht="26.25" hidden="false" customHeight="true" outlineLevel="0" collapsed="false">
      <c r="A16" s="5"/>
      <c r="B16" s="8" t="s">
        <v>66</v>
      </c>
      <c r="C16" s="8" t="s">
        <v>67</v>
      </c>
      <c r="D16" s="14" t="n">
        <v>1</v>
      </c>
      <c r="E16" s="14" t="s">
        <v>38</v>
      </c>
      <c r="F16" s="15" t="n">
        <v>40000</v>
      </c>
      <c r="G16" s="15" t="n">
        <f aca="false">D16*F16</f>
        <v>40000</v>
      </c>
      <c r="H16" s="5" t="s">
        <v>68</v>
      </c>
    </row>
    <row r="17" customFormat="false" ht="26.25" hidden="false" customHeight="true" outlineLevel="0" collapsed="false">
      <c r="A17" s="5"/>
      <c r="B17" s="5" t="s">
        <v>69</v>
      </c>
      <c r="C17" s="8" t="s">
        <v>70</v>
      </c>
      <c r="D17" s="14" t="n">
        <v>1</v>
      </c>
      <c r="E17" s="14" t="s">
        <v>38</v>
      </c>
      <c r="F17" s="15" t="n">
        <v>320000</v>
      </c>
      <c r="G17" s="15" t="n">
        <f aca="false">D17*F17</f>
        <v>320000</v>
      </c>
      <c r="H17" s="8" t="s">
        <v>71</v>
      </c>
    </row>
    <row r="18" customFormat="false" ht="15" hidden="false" customHeight="true" outlineLevel="0" collapsed="false">
      <c r="A18" s="5"/>
      <c r="B18" s="5" t="s">
        <v>72</v>
      </c>
      <c r="C18" s="5" t="s">
        <v>73</v>
      </c>
      <c r="D18" s="14" t="n">
        <v>1</v>
      </c>
      <c r="E18" s="14" t="s">
        <v>38</v>
      </c>
      <c r="F18" s="15" t="n">
        <v>35000</v>
      </c>
      <c r="G18" s="15" t="n">
        <f aca="false">D18*F18</f>
        <v>35000</v>
      </c>
      <c r="H18" s="5" t="s">
        <v>74</v>
      </c>
    </row>
    <row r="19" customFormat="false" ht="16.5" hidden="false" customHeight="true" outlineLevel="0" collapsed="false">
      <c r="A19" s="13" t="s">
        <v>75</v>
      </c>
      <c r="B19" s="13"/>
      <c r="C19" s="13"/>
      <c r="D19" s="13"/>
      <c r="E19" s="13"/>
      <c r="F19" s="13"/>
      <c r="G19" s="13"/>
      <c r="H19" s="13"/>
    </row>
    <row r="20" customFormat="false" ht="15" hidden="false" customHeight="true" outlineLevel="0" collapsed="false">
      <c r="A20" s="5"/>
      <c r="B20" s="5" t="s">
        <v>76</v>
      </c>
      <c r="C20" s="8" t="s">
        <v>77</v>
      </c>
      <c r="D20" s="14" t="n">
        <v>1</v>
      </c>
      <c r="E20" s="14" t="s">
        <v>38</v>
      </c>
      <c r="F20" s="15" t="n">
        <v>75000</v>
      </c>
      <c r="G20" s="15" t="n">
        <f aca="false">D20*F20</f>
        <v>75000</v>
      </c>
      <c r="H20" s="8" t="s">
        <v>78</v>
      </c>
    </row>
    <row r="21" customFormat="false" ht="15" hidden="false" customHeight="true" outlineLevel="0" collapsed="false">
      <c r="A21" s="5"/>
      <c r="B21" s="5" t="s">
        <v>79</v>
      </c>
      <c r="C21" s="8" t="s">
        <v>80</v>
      </c>
      <c r="D21" s="14" t="n">
        <v>1</v>
      </c>
      <c r="E21" s="14" t="s">
        <v>38</v>
      </c>
      <c r="F21" s="15" t="n">
        <v>15000</v>
      </c>
      <c r="G21" s="15" t="n">
        <f aca="false">D21*F21</f>
        <v>15000</v>
      </c>
      <c r="H21" s="5"/>
    </row>
    <row r="22" customFormat="false" ht="15" hidden="false" customHeight="true" outlineLevel="0" collapsed="false">
      <c r="A22" s="5"/>
      <c r="B22" s="5" t="s">
        <v>81</v>
      </c>
      <c r="C22" s="8" t="s">
        <v>82</v>
      </c>
      <c r="D22" s="14" t="n">
        <v>1</v>
      </c>
      <c r="E22" s="14" t="s">
        <v>31</v>
      </c>
      <c r="F22" s="15" t="n">
        <v>20000</v>
      </c>
      <c r="G22" s="15" t="n">
        <f aca="false">D22*F22</f>
        <v>20000</v>
      </c>
      <c r="H22" s="5" t="s">
        <v>83</v>
      </c>
    </row>
    <row r="23" customFormat="false" ht="15" hidden="false" customHeight="true" outlineLevel="0" collapsed="false">
      <c r="A23" s="5"/>
      <c r="B23" s="5" t="s">
        <v>84</v>
      </c>
      <c r="C23" s="5" t="s">
        <v>85</v>
      </c>
      <c r="D23" s="14" t="n">
        <v>1</v>
      </c>
      <c r="E23" s="14" t="s">
        <v>38</v>
      </c>
      <c r="F23" s="15" t="n">
        <v>15000</v>
      </c>
      <c r="G23" s="15" t="n">
        <f aca="false">D23*F23</f>
        <v>15000</v>
      </c>
      <c r="H23" s="8" t="s">
        <v>86</v>
      </c>
    </row>
    <row r="24" customFormat="false" ht="16.5" hidden="false" customHeight="true" outlineLevel="0" collapsed="false">
      <c r="A24" s="13" t="s">
        <v>87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true" outlineLevel="0" collapsed="false">
      <c r="A25" s="5"/>
      <c r="B25" s="5" t="s">
        <v>88</v>
      </c>
      <c r="C25" s="8" t="s">
        <v>89</v>
      </c>
      <c r="D25" s="14" t="n">
        <v>1</v>
      </c>
      <c r="E25" s="14" t="s">
        <v>31</v>
      </c>
      <c r="F25" s="15" t="n">
        <v>35000</v>
      </c>
      <c r="G25" s="15" t="n">
        <f aca="false">D25*F25</f>
        <v>35000</v>
      </c>
      <c r="H25" s="8" t="s">
        <v>90</v>
      </c>
    </row>
    <row r="26" customFormat="false" ht="15" hidden="false" customHeight="true" outlineLevel="0" collapsed="false">
      <c r="A26" s="5"/>
      <c r="B26" s="5" t="s">
        <v>91</v>
      </c>
      <c r="C26" s="8" t="s">
        <v>92</v>
      </c>
      <c r="D26" s="14" t="n">
        <v>3</v>
      </c>
      <c r="E26" s="14" t="s">
        <v>38</v>
      </c>
      <c r="F26" s="15" t="n">
        <v>5000</v>
      </c>
      <c r="G26" s="15" t="n">
        <f aca="false">D26*F26</f>
        <v>15000</v>
      </c>
      <c r="H26" s="5"/>
    </row>
    <row r="27" customFormat="false" ht="15" hidden="false" customHeight="true" outlineLevel="0" collapsed="false">
      <c r="A27" s="5"/>
      <c r="B27" s="5" t="s">
        <v>93</v>
      </c>
      <c r="C27" s="8" t="s">
        <v>94</v>
      </c>
      <c r="D27" s="14" t="n">
        <v>1</v>
      </c>
      <c r="E27" s="14" t="s">
        <v>38</v>
      </c>
      <c r="F27" s="15" t="n">
        <v>30000</v>
      </c>
      <c r="G27" s="15" t="n">
        <f aca="false">D27*F27</f>
        <v>30000</v>
      </c>
      <c r="H27" s="5"/>
    </row>
    <row r="28" customFormat="false" ht="15" hidden="false" customHeight="true" outlineLevel="0" collapsed="false">
      <c r="A28" s="5"/>
      <c r="B28" s="5" t="s">
        <v>95</v>
      </c>
      <c r="C28" s="5" t="s">
        <v>96</v>
      </c>
      <c r="D28" s="14" t="n">
        <v>1</v>
      </c>
      <c r="E28" s="14" t="s">
        <v>31</v>
      </c>
      <c r="F28" s="15" t="n">
        <v>30000</v>
      </c>
      <c r="G28" s="15" t="n">
        <f aca="false">D28*F28</f>
        <v>30000</v>
      </c>
      <c r="H28" s="5"/>
    </row>
    <row r="29" customFormat="false" ht="16.5" hidden="false" customHeight="true" outlineLevel="0" collapsed="false">
      <c r="A29" s="13" t="s">
        <v>97</v>
      </c>
      <c r="B29" s="13"/>
      <c r="C29" s="13"/>
      <c r="D29" s="13"/>
      <c r="E29" s="13"/>
      <c r="F29" s="13"/>
      <c r="G29" s="13"/>
      <c r="H29" s="13"/>
    </row>
    <row r="30" customFormat="false" ht="29.25" hidden="false" customHeight="true" outlineLevel="0" collapsed="false">
      <c r="A30" s="5"/>
      <c r="B30" s="5" t="s">
        <v>98</v>
      </c>
      <c r="C30" s="8" t="s">
        <v>99</v>
      </c>
      <c r="D30" s="14" t="n">
        <v>6</v>
      </c>
      <c r="E30" s="14" t="s">
        <v>100</v>
      </c>
      <c r="F30" s="15" t="n">
        <v>18000</v>
      </c>
      <c r="G30" s="15" t="n">
        <f aca="false">D30*F30</f>
        <v>108000</v>
      </c>
      <c r="H30" s="5" t="s">
        <v>101</v>
      </c>
    </row>
    <row r="31" customFormat="false" ht="15" hidden="false" customHeight="true" outlineLevel="0" collapsed="false">
      <c r="A31" s="5"/>
      <c r="B31" s="5" t="s">
        <v>102</v>
      </c>
      <c r="C31" s="8" t="s">
        <v>103</v>
      </c>
      <c r="D31" s="14" t="n">
        <v>1</v>
      </c>
      <c r="E31" s="14" t="s">
        <v>100</v>
      </c>
      <c r="F31" s="15" t="n">
        <v>45000</v>
      </c>
      <c r="G31" s="15" t="n">
        <f aca="false">D31*F31</f>
        <v>45000</v>
      </c>
      <c r="H31" s="8" t="s">
        <v>104</v>
      </c>
    </row>
    <row r="32" customFormat="false" ht="15" hidden="false" customHeight="true" outlineLevel="0" collapsed="false">
      <c r="A32" s="5"/>
      <c r="B32" s="8" t="s">
        <v>105</v>
      </c>
      <c r="C32" s="5" t="s">
        <v>106</v>
      </c>
      <c r="D32" s="14" t="n">
        <v>2</v>
      </c>
      <c r="E32" s="14" t="s">
        <v>38</v>
      </c>
      <c r="F32" s="15" t="n">
        <v>5000</v>
      </c>
      <c r="G32" s="15" t="n">
        <f aca="false">D32*F32</f>
        <v>10000</v>
      </c>
      <c r="H32" s="8" t="s">
        <v>107</v>
      </c>
    </row>
    <row r="33" customFormat="false" ht="16.5" hidden="false" customHeight="true" outlineLevel="0" collapsed="false">
      <c r="A33" s="13" t="s">
        <v>108</v>
      </c>
      <c r="B33" s="13"/>
      <c r="C33" s="13"/>
      <c r="D33" s="13"/>
      <c r="E33" s="13"/>
      <c r="F33" s="13"/>
      <c r="G33" s="13"/>
      <c r="H33" s="13"/>
    </row>
    <row r="34" customFormat="false" ht="15" hidden="false" customHeight="true" outlineLevel="0" collapsed="false">
      <c r="A34" s="5"/>
      <c r="B34" s="5" t="s">
        <v>109</v>
      </c>
      <c r="C34" s="8" t="s">
        <v>110</v>
      </c>
      <c r="D34" s="14" t="n">
        <v>1</v>
      </c>
      <c r="E34" s="14" t="s">
        <v>31</v>
      </c>
      <c r="F34" s="15" t="n">
        <v>40000</v>
      </c>
      <c r="G34" s="15" t="n">
        <f aca="false">D34*F34</f>
        <v>40000</v>
      </c>
      <c r="H34" s="5" t="s">
        <v>111</v>
      </c>
    </row>
    <row r="35" customFormat="false" ht="15" hidden="false" customHeight="true" outlineLevel="0" collapsed="false">
      <c r="A35" s="5"/>
      <c r="B35" s="8" t="s">
        <v>112</v>
      </c>
      <c r="C35" s="8" t="s">
        <v>113</v>
      </c>
      <c r="D35" s="14" t="n">
        <v>1</v>
      </c>
      <c r="E35" s="14" t="s">
        <v>31</v>
      </c>
      <c r="F35" s="15" t="n">
        <v>30000</v>
      </c>
      <c r="G35" s="15" t="n">
        <f aca="false">D35*F35</f>
        <v>30000</v>
      </c>
      <c r="H35" s="5" t="s">
        <v>114</v>
      </c>
    </row>
    <row r="36" customFormat="false" ht="15" hidden="false" customHeight="true" outlineLevel="0" collapsed="false">
      <c r="A36" s="5"/>
      <c r="B36" s="5" t="s">
        <v>115</v>
      </c>
      <c r="C36" s="8" t="s">
        <v>116</v>
      </c>
      <c r="D36" s="14" t="n">
        <v>1</v>
      </c>
      <c r="E36" s="14" t="s">
        <v>31</v>
      </c>
      <c r="F36" s="15" t="n">
        <v>15000</v>
      </c>
      <c r="G36" s="15" t="n">
        <f aca="false">D36*F36</f>
        <v>15000</v>
      </c>
      <c r="H36" s="5" t="s">
        <v>117</v>
      </c>
    </row>
    <row r="37" customFormat="false" ht="16.5" hidden="false" customHeight="true" outlineLevel="0" collapsed="false">
      <c r="A37" s="13" t="s">
        <v>118</v>
      </c>
      <c r="B37" s="13"/>
      <c r="C37" s="13"/>
      <c r="D37" s="13"/>
      <c r="E37" s="13"/>
      <c r="F37" s="13"/>
      <c r="G37" s="13"/>
      <c r="H37" s="13"/>
    </row>
    <row r="38" customFormat="false" ht="15" hidden="false" customHeight="true" outlineLevel="0" collapsed="false">
      <c r="A38" s="5"/>
      <c r="B38" s="8" t="s">
        <v>119</v>
      </c>
      <c r="C38" s="5" t="s">
        <v>120</v>
      </c>
      <c r="D38" s="14" t="n">
        <v>1</v>
      </c>
      <c r="E38" s="14" t="s">
        <v>121</v>
      </c>
      <c r="F38" s="15" t="n">
        <v>0</v>
      </c>
      <c r="G38" s="15" t="n">
        <f aca="false">D38*F38</f>
        <v>0</v>
      </c>
      <c r="H38" s="5" t="s">
        <v>122</v>
      </c>
    </row>
    <row r="39" customFormat="false" ht="15" hidden="false" customHeight="true" outlineLevel="0" collapsed="false">
      <c r="A39" s="9"/>
      <c r="B39" s="9" t="s">
        <v>123</v>
      </c>
      <c r="C39" s="9"/>
      <c r="D39" s="9"/>
      <c r="E39" s="9"/>
      <c r="F39" s="9"/>
      <c r="G39" s="10" t="n">
        <f aca="false">SUM(G2:G38)</f>
        <v>2924000</v>
      </c>
      <c r="H39" s="9"/>
    </row>
  </sheetData>
  <mergeCells count="8">
    <mergeCell ref="A2:H2"/>
    <mergeCell ref="A9:H9"/>
    <mergeCell ref="A13:H13"/>
    <mergeCell ref="A19:H19"/>
    <mergeCell ref="A24:H24"/>
    <mergeCell ref="A29:H29"/>
    <mergeCell ref="A33:H33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7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34"/>
  </cols>
  <sheetData>
    <row r="1" customFormat="false" ht="16.5" hidden="false" customHeight="true" outlineLevel="0" collapsed="false">
      <c r="A1" s="4" t="s">
        <v>124</v>
      </c>
      <c r="B1" s="4" t="s">
        <v>125</v>
      </c>
      <c r="C1" s="4" t="s">
        <v>126</v>
      </c>
      <c r="D1" s="4" t="s">
        <v>23</v>
      </c>
      <c r="E1" s="4" t="s">
        <v>127</v>
      </c>
      <c r="F1" s="4" t="s">
        <v>128</v>
      </c>
      <c r="G1" s="4" t="s">
        <v>26</v>
      </c>
      <c r="H1" s="4" t="s">
        <v>7</v>
      </c>
    </row>
    <row r="2" customFormat="false" ht="16.5" hidden="false" customHeight="true" outlineLevel="0" collapsed="false">
      <c r="A2" s="16" t="s">
        <v>129</v>
      </c>
      <c r="B2" s="16"/>
      <c r="C2" s="16"/>
      <c r="D2" s="16"/>
      <c r="E2" s="16"/>
      <c r="F2" s="16"/>
      <c r="G2" s="16"/>
      <c r="H2" s="16"/>
    </row>
    <row r="3" customFormat="false" ht="29.25" hidden="false" customHeight="true" outlineLevel="0" collapsed="false">
      <c r="A3" s="8" t="s">
        <v>130</v>
      </c>
      <c r="B3" s="5" t="s">
        <v>131</v>
      </c>
      <c r="C3" s="5" t="s">
        <v>132</v>
      </c>
      <c r="D3" s="14" t="n">
        <v>1</v>
      </c>
      <c r="E3" s="8" t="s">
        <v>133</v>
      </c>
      <c r="F3" s="15" t="n">
        <v>18000</v>
      </c>
      <c r="G3" s="15" t="n">
        <f aca="false">D3*F3</f>
        <v>18000</v>
      </c>
      <c r="H3" s="8" t="s">
        <v>134</v>
      </c>
    </row>
    <row r="4" customFormat="false" ht="15" hidden="false" customHeight="true" outlineLevel="0" collapsed="false">
      <c r="A4" s="8" t="s">
        <v>130</v>
      </c>
      <c r="B4" s="5" t="s">
        <v>135</v>
      </c>
      <c r="C4" s="8" t="s">
        <v>136</v>
      </c>
      <c r="D4" s="14" t="n">
        <v>90</v>
      </c>
      <c r="E4" s="8" t="s">
        <v>137</v>
      </c>
      <c r="F4" s="15" t="n">
        <v>250</v>
      </c>
      <c r="G4" s="15" t="n">
        <f aca="false">D4*F4</f>
        <v>22500</v>
      </c>
      <c r="H4" s="5" t="s">
        <v>138</v>
      </c>
    </row>
    <row r="5" customFormat="false" ht="15" hidden="false" customHeight="true" outlineLevel="0" collapsed="false">
      <c r="A5" s="8" t="s">
        <v>130</v>
      </c>
      <c r="B5" s="5" t="s">
        <v>139</v>
      </c>
      <c r="C5" s="5" t="s">
        <v>140</v>
      </c>
      <c r="D5" s="14" t="n">
        <v>2</v>
      </c>
      <c r="E5" s="8" t="s">
        <v>133</v>
      </c>
      <c r="F5" s="15" t="n">
        <v>9000</v>
      </c>
      <c r="G5" s="15" t="n">
        <f aca="false">D5*F5</f>
        <v>18000</v>
      </c>
      <c r="H5" s="5" t="s">
        <v>141</v>
      </c>
    </row>
    <row r="6" customFormat="false" ht="15" hidden="false" customHeight="true" outlineLevel="0" collapsed="false">
      <c r="A6" s="8" t="s">
        <v>130</v>
      </c>
      <c r="B6" s="5" t="s">
        <v>142</v>
      </c>
      <c r="C6" s="8" t="s">
        <v>143</v>
      </c>
      <c r="D6" s="14" t="n">
        <v>1</v>
      </c>
      <c r="E6" s="8" t="s">
        <v>144</v>
      </c>
      <c r="F6" s="15" t="n">
        <v>4000</v>
      </c>
      <c r="G6" s="15" t="n">
        <f aca="false">D6*F6</f>
        <v>4000</v>
      </c>
      <c r="H6" s="5" t="s">
        <v>145</v>
      </c>
    </row>
    <row r="7" customFormat="false" ht="15" hidden="false" customHeight="true" outlineLevel="0" collapsed="false">
      <c r="A7" s="8" t="s">
        <v>130</v>
      </c>
      <c r="B7" s="5" t="s">
        <v>146</v>
      </c>
      <c r="C7" s="8" t="s">
        <v>147</v>
      </c>
      <c r="D7" s="14" t="n">
        <v>1</v>
      </c>
      <c r="E7" s="8" t="s">
        <v>133</v>
      </c>
      <c r="F7" s="15" t="n">
        <v>7000</v>
      </c>
      <c r="G7" s="15" t="n">
        <f aca="false">D7*F7</f>
        <v>7000</v>
      </c>
      <c r="H7" s="5" t="s">
        <v>148</v>
      </c>
    </row>
    <row r="8" customFormat="false" ht="15" hidden="false" customHeight="true" outlineLevel="0" collapsed="false">
      <c r="A8" s="8" t="s">
        <v>130</v>
      </c>
      <c r="B8" s="5" t="s">
        <v>149</v>
      </c>
      <c r="C8" s="5" t="s">
        <v>150</v>
      </c>
      <c r="D8" s="14" t="n">
        <v>1</v>
      </c>
      <c r="E8" s="8" t="s">
        <v>144</v>
      </c>
      <c r="F8" s="15" t="n">
        <v>3000</v>
      </c>
      <c r="G8" s="15" t="n">
        <f aca="false">D8*F8</f>
        <v>3000</v>
      </c>
      <c r="H8" s="5"/>
    </row>
    <row r="9" customFormat="false" ht="16.5" hidden="false" customHeight="true" outlineLevel="0" collapsed="false">
      <c r="A9" s="17" t="s">
        <v>151</v>
      </c>
      <c r="B9" s="17"/>
      <c r="C9" s="17"/>
      <c r="D9" s="17"/>
      <c r="E9" s="17"/>
      <c r="F9" s="17"/>
      <c r="G9" s="17"/>
      <c r="H9" s="17"/>
    </row>
    <row r="10" customFormat="false" ht="15" hidden="false" customHeight="true" outlineLevel="0" collapsed="false">
      <c r="A10" s="5" t="s">
        <v>152</v>
      </c>
      <c r="B10" s="5" t="s">
        <v>153</v>
      </c>
      <c r="C10" s="8" t="s">
        <v>154</v>
      </c>
      <c r="D10" s="14" t="n">
        <v>1</v>
      </c>
      <c r="E10" s="5" t="s">
        <v>155</v>
      </c>
      <c r="F10" s="15" t="n">
        <v>25000</v>
      </c>
      <c r="G10" s="15" t="n">
        <f aca="false">D10*F10</f>
        <v>25000</v>
      </c>
      <c r="H10" s="8" t="s">
        <v>156</v>
      </c>
    </row>
    <row r="11" customFormat="false" ht="29.25" hidden="false" customHeight="true" outlineLevel="0" collapsed="false">
      <c r="A11" s="5" t="s">
        <v>157</v>
      </c>
      <c r="B11" s="8" t="s">
        <v>158</v>
      </c>
      <c r="C11" s="8" t="s">
        <v>159</v>
      </c>
      <c r="D11" s="14" t="n">
        <v>1</v>
      </c>
      <c r="E11" s="5" t="s">
        <v>160</v>
      </c>
      <c r="F11" s="15" t="n">
        <v>20000</v>
      </c>
      <c r="G11" s="15" t="n">
        <f aca="false">D11*F11</f>
        <v>20000</v>
      </c>
      <c r="H11" s="5" t="s">
        <v>161</v>
      </c>
    </row>
    <row r="12" customFormat="false" ht="26.25" hidden="false" customHeight="true" outlineLevel="0" collapsed="false">
      <c r="A12" s="5" t="s">
        <v>152</v>
      </c>
      <c r="B12" s="5" t="s">
        <v>162</v>
      </c>
      <c r="C12" s="8" t="s">
        <v>163</v>
      </c>
      <c r="D12" s="14" t="n">
        <v>1</v>
      </c>
      <c r="E12" s="5" t="s">
        <v>164</v>
      </c>
      <c r="F12" s="15" t="n">
        <v>8000</v>
      </c>
      <c r="G12" s="15" t="n">
        <f aca="false">D12*F12</f>
        <v>8000</v>
      </c>
      <c r="H12" s="8" t="s">
        <v>165</v>
      </c>
    </row>
    <row r="13" customFormat="false" ht="15" hidden="false" customHeight="true" outlineLevel="0" collapsed="false">
      <c r="A13" s="5" t="s">
        <v>152</v>
      </c>
      <c r="B13" s="5" t="s">
        <v>166</v>
      </c>
      <c r="C13" s="5" t="s">
        <v>167</v>
      </c>
      <c r="D13" s="14" t="n">
        <v>1</v>
      </c>
      <c r="E13" s="5" t="s">
        <v>168</v>
      </c>
      <c r="F13" s="15" t="n">
        <v>7000</v>
      </c>
      <c r="G13" s="15" t="n">
        <f aca="false">D13*F13</f>
        <v>7000</v>
      </c>
      <c r="H13" s="5"/>
    </row>
    <row r="14" customFormat="false" ht="15" hidden="false" customHeight="true" outlineLevel="0" collapsed="false">
      <c r="A14" s="9"/>
      <c r="B14" s="9" t="s">
        <v>169</v>
      </c>
      <c r="C14" s="9"/>
      <c r="D14" s="9"/>
      <c r="E14" s="9"/>
      <c r="F14" s="9"/>
      <c r="G14" s="10" t="n">
        <f aca="false">SUM(G2:G13)</f>
        <v>132500</v>
      </c>
      <c r="H14" s="9"/>
    </row>
  </sheetData>
  <mergeCells count="2">
    <mergeCell ref="A2:H2"/>
    <mergeCell ref="A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46"/>
    <col collapsed="false" customWidth="true" hidden="false" outlineLevel="0" max="5" min="5" style="1" width="9"/>
  </cols>
  <sheetData>
    <row r="1" customFormat="false" ht="16.5" hidden="false" customHeight="true" outlineLevel="0" collapsed="false">
      <c r="A1" s="18" t="s">
        <v>170</v>
      </c>
      <c r="B1" s="4" t="s">
        <v>171</v>
      </c>
      <c r="C1" s="18" t="s">
        <v>172</v>
      </c>
      <c r="D1" s="4" t="s">
        <v>173</v>
      </c>
      <c r="E1" s="4" t="s">
        <v>174</v>
      </c>
    </row>
    <row r="2" customFormat="false" ht="29.25" hidden="false" customHeight="true" outlineLevel="0" collapsed="false">
      <c r="A2" s="14" t="n">
        <v>1</v>
      </c>
      <c r="B2" s="5" t="s">
        <v>175</v>
      </c>
      <c r="C2" s="8" t="s">
        <v>176</v>
      </c>
      <c r="D2" s="5" t="s">
        <v>177</v>
      </c>
      <c r="E2" s="19" t="s">
        <v>178</v>
      </c>
    </row>
    <row r="3" customFormat="false" ht="15" hidden="false" customHeight="true" outlineLevel="0" collapsed="false">
      <c r="A3" s="14" t="n">
        <v>2</v>
      </c>
      <c r="B3" s="8" t="s">
        <v>179</v>
      </c>
      <c r="C3" s="5" t="s">
        <v>180</v>
      </c>
      <c r="D3" s="8" t="s">
        <v>181</v>
      </c>
      <c r="E3" s="19" t="s">
        <v>178</v>
      </c>
    </row>
    <row r="4" customFormat="false" ht="15" hidden="false" customHeight="true" outlineLevel="0" collapsed="false">
      <c r="A4" s="14" t="n">
        <v>3</v>
      </c>
      <c r="B4" s="8" t="s">
        <v>182</v>
      </c>
      <c r="C4" s="8" t="s">
        <v>183</v>
      </c>
      <c r="D4" s="5" t="s">
        <v>184</v>
      </c>
      <c r="E4" s="14" t="s">
        <v>185</v>
      </c>
    </row>
    <row r="5" customFormat="false" ht="15" hidden="false" customHeight="true" outlineLevel="0" collapsed="false">
      <c r="A5" s="14" t="n">
        <v>4</v>
      </c>
      <c r="B5" s="5" t="s">
        <v>186</v>
      </c>
      <c r="C5" s="8" t="s">
        <v>187</v>
      </c>
      <c r="D5" s="5" t="s">
        <v>188</v>
      </c>
      <c r="E5" s="14" t="s">
        <v>185</v>
      </c>
    </row>
    <row r="6" customFormat="false" ht="15" hidden="false" customHeight="true" outlineLevel="0" collapsed="false">
      <c r="A6" s="14" t="n">
        <v>5</v>
      </c>
      <c r="B6" s="5" t="s">
        <v>189</v>
      </c>
      <c r="C6" s="5" t="s">
        <v>190</v>
      </c>
      <c r="D6" s="5" t="s">
        <v>191</v>
      </c>
      <c r="E6" s="14" t="s">
        <v>185</v>
      </c>
    </row>
    <row r="7" customFormat="false" ht="15" hidden="false" customHeight="true" outlineLevel="0" collapsed="false">
      <c r="A7" s="14" t="n">
        <v>6</v>
      </c>
      <c r="B7" s="5" t="s">
        <v>192</v>
      </c>
      <c r="C7" s="5" t="s">
        <v>193</v>
      </c>
      <c r="D7" s="8" t="s">
        <v>194</v>
      </c>
      <c r="E7" s="14" t="s">
        <v>185</v>
      </c>
    </row>
    <row r="8" customFormat="false" ht="29.25" hidden="false" customHeight="true" outlineLevel="0" collapsed="false">
      <c r="A8" s="14" t="n">
        <v>7</v>
      </c>
      <c r="B8" s="5" t="s">
        <v>195</v>
      </c>
      <c r="C8" s="5" t="s">
        <v>196</v>
      </c>
      <c r="D8" s="5" t="s">
        <v>197</v>
      </c>
      <c r="E8" s="14" t="s">
        <v>198</v>
      </c>
    </row>
    <row r="9" customFormat="false" ht="15" hidden="false" customHeight="true" outlineLevel="0" collapsed="false">
      <c r="A9" s="14" t="n">
        <v>8</v>
      </c>
      <c r="B9" s="5" t="s">
        <v>199</v>
      </c>
      <c r="C9" s="8" t="s">
        <v>200</v>
      </c>
      <c r="D9" s="5" t="s">
        <v>201</v>
      </c>
      <c r="E9" s="14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2026-06-15T07:23:20Z</dcterms:created>
  <dc:creator>openpyxl</dc:creator>
  <dc:description/>
  <dc:language>en-US</dc:language>
  <cp:lastModifiedBy/>
  <dcterms:modified xsi:type="dcterms:W3CDTF">2026-06-15T07:23:40Z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